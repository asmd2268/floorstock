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ergency" sheetId="1" r:id="rId5"/>
    <sheet state="visible" name="ICU" sheetId="2" r:id="rId6"/>
    <sheet state="visible" name=" ANESTHESIA" sheetId="3" r:id="rId7"/>
    <sheet state="visible" name="MMW" sheetId="4" r:id="rId8"/>
    <sheet state="visible" name="MSW" sheetId="5" r:id="rId9"/>
    <sheet state="visible" name="FMW" sheetId="6" r:id="rId10"/>
    <sheet state="hidden" name="CCU" sheetId="7" r:id="rId11"/>
    <sheet state="visible" name="FSW" sheetId="8" r:id="rId12"/>
    <sheet state="visible" name="OBW" sheetId="9" r:id="rId13"/>
    <sheet state="visible" name="PEDIA" sheetId="10" r:id="rId14"/>
    <sheet state="visible" name="Nursery" sheetId="11" r:id="rId15"/>
    <sheet state="visible" name="ENDOSCOPY UNIT" sheetId="12" r:id="rId16"/>
    <sheet state="visible" name="AKU" sheetId="13" r:id="rId17"/>
    <sheet state="visible" name="HOME CARE" sheetId="14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tc={37b775d5-74f8-4a7c-bb4f-28163194a20f}</author>
  </authors>
  <commentList>
    <comment authorId="0" xr:uid="{37b775d5-74f8-4a7c-bb4f-28163194a20f}" ref="H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31/05/2026
</t>
      </text>
    </comment>
  </commentList>
</comments>
</file>

<file path=xl/sharedStrings.xml><?xml version="1.0" encoding="utf-8"?>
<sst xmlns="http://schemas.openxmlformats.org/spreadsheetml/2006/main" count="623" uniqueCount="108">
  <si>
    <t>Kingdom of Saudi Arabia</t>
  </si>
  <si>
    <t>Ministry of Health</t>
  </si>
  <si>
    <t>Riyadh First Health Cluster</t>
  </si>
  <si>
    <t>Wadi Al Dawaser General Hospital</t>
  </si>
  <si>
    <t>ER</t>
  </si>
  <si>
    <t>CUSTODY OF NARCOTIC &amp; CONTROLLED MEDICINES</t>
  </si>
  <si>
    <t>عهدة الأدوية المخدرة والمقيدة لقسم الطوارى</t>
  </si>
  <si>
    <t>Code NO</t>
  </si>
  <si>
    <t>Generic Name</t>
  </si>
  <si>
    <t>Strength</t>
  </si>
  <si>
    <t>Dosage Form</t>
  </si>
  <si>
    <t>Std. Qty.</t>
  </si>
  <si>
    <t>Present</t>
  </si>
  <si>
    <t>Exp. Date</t>
  </si>
  <si>
    <t>Exp. Date 2</t>
  </si>
  <si>
    <t>Exp. Date 3</t>
  </si>
  <si>
    <t>Diazepam</t>
  </si>
  <si>
    <t>10 MG</t>
  </si>
  <si>
    <t>ampule</t>
  </si>
  <si>
    <t>5 MG</t>
  </si>
  <si>
    <t>Rectal</t>
  </si>
  <si>
    <t>Fentanyl</t>
  </si>
  <si>
    <t>0.1 MG</t>
  </si>
  <si>
    <t>Midazolam</t>
  </si>
  <si>
    <t>15 MG</t>
  </si>
  <si>
    <t>Morphine</t>
  </si>
  <si>
    <t>Pethidine</t>
  </si>
  <si>
    <t>100 MG</t>
  </si>
  <si>
    <t>50 MG</t>
  </si>
  <si>
    <t>Phenobarbitone</t>
  </si>
  <si>
    <t>200 MG</t>
  </si>
  <si>
    <t>60 MG</t>
  </si>
  <si>
    <t>Tramadol</t>
  </si>
  <si>
    <t>مأمور عهدة الأدوية المخدرة والمقيدة</t>
  </si>
  <si>
    <t>رئيس قسم الرعاية الصيدلية</t>
  </si>
  <si>
    <t>رئيس قسم الاسعاف والطوارئ</t>
  </si>
  <si>
    <t>ص/ محمد فهد عبدالله</t>
  </si>
  <si>
    <t>صيدلي / عظيمان غنام القحطاني</t>
  </si>
  <si>
    <t>عبدالله جازع</t>
  </si>
  <si>
    <t>استلمت</t>
  </si>
  <si>
    <t>المساعد للخدمات الطبية</t>
  </si>
  <si>
    <t>مدير مستشفى محافظة وادي الدولسر العام</t>
  </si>
  <si>
    <t>د. الامام الأخرص</t>
  </si>
  <si>
    <t>أخصائي أول/ ياسر عبدالله آل شملان</t>
  </si>
  <si>
    <t>expiration date within next 60 days will be in a bold font</t>
  </si>
  <si>
    <t>Checked by:</t>
  </si>
  <si>
    <t>Mohammed Fahd</t>
  </si>
  <si>
    <t>ICU</t>
  </si>
  <si>
    <t>عهدة الأدوية المخدرة والمقيدة لقسم العناية المركزة</t>
  </si>
  <si>
    <t>Tabs</t>
  </si>
  <si>
    <t>500 MCG</t>
  </si>
  <si>
    <t>رئيس قسم العناية المركزة</t>
  </si>
  <si>
    <t>نواف ابراهيم الصافي</t>
  </si>
  <si>
    <t>مدير مستشفى محافظة وادي الدواسر العام</t>
  </si>
  <si>
    <t xml:space="preserve"> </t>
  </si>
  <si>
    <t>ANESTHESIA</t>
  </si>
  <si>
    <t>عهدة الأدوية المخدرة والمقيدة لقسم التخدير</t>
  </si>
  <si>
    <t>vial</t>
  </si>
  <si>
    <t>رئيس قسم التخدير</t>
  </si>
  <si>
    <t>مشاعل القاسم الشاجري</t>
  </si>
  <si>
    <t>MALE MEDICAL</t>
  </si>
  <si>
    <t>عهدة الأدوية المخدرة والمقيدة لقسم باطنية (رجال)</t>
  </si>
  <si>
    <t>رئيس قسم باطنية رجال</t>
  </si>
  <si>
    <t xml:space="preserve">علي عبدالله ال حنايا </t>
  </si>
  <si>
    <t>MALE SURGICAL</t>
  </si>
  <si>
    <t>عهدة الأدوية المخدرة والمقيدة لقسم جراحه (رجال)</t>
  </si>
  <si>
    <t>رئيس قسم جراحة رجال</t>
  </si>
  <si>
    <t>سعيد بخيت عبدالله</t>
  </si>
  <si>
    <t>أخصائي أول/ ياسر عبدالله ال شملان</t>
  </si>
  <si>
    <t>FMW</t>
  </si>
  <si>
    <t>عهدة الأدوية المخدرة والمقيدة لقسم باطنية (نساء)</t>
  </si>
  <si>
    <t>رئيسة قسم باطنية نساء</t>
  </si>
  <si>
    <t>رحمة تني شارع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</si>
  <si>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</si>
  <si>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CCU</t>
  </si>
  <si>
    <t>صيدلي / عبدالرحمن عبده جديبا</t>
  </si>
  <si>
    <t>حمد عبدالرحمن مهنا</t>
  </si>
  <si>
    <t>FSW</t>
  </si>
  <si>
    <t>عهدة الأدوية المخدرة والمقيدة لقسم جراحه (نساء)</t>
  </si>
  <si>
    <t>رئيسة قسم جراحة نساء</t>
  </si>
  <si>
    <t>جودي هذال سعود</t>
  </si>
  <si>
    <t>OBW</t>
  </si>
  <si>
    <t>عهدة الأدوية المخدرة والمقيدة لقسم النساء والولادة</t>
  </si>
  <si>
    <t>رئيسة قسم الولادة</t>
  </si>
  <si>
    <t>هياء تركي البيشي</t>
  </si>
  <si>
    <t xml:space="preserve">      </t>
  </si>
  <si>
    <t>PEDIA</t>
  </si>
  <si>
    <t>عهدة الأدوية المخدرة والمقيدة لقسم الاطفال</t>
  </si>
  <si>
    <t>رئيسة قسم الاطفال</t>
  </si>
  <si>
    <t>غالية سالم عثمان</t>
  </si>
  <si>
    <t>Nursery</t>
  </si>
  <si>
    <t>عهدة الأدوية المخدرة والمقيدة لقسم حديثي الولادة</t>
  </si>
  <si>
    <t>200MG</t>
  </si>
  <si>
    <t>رئيسة قسم الحضانة</t>
  </si>
  <si>
    <t>مرايف حمود مطلق</t>
  </si>
  <si>
    <t>|</t>
  </si>
  <si>
    <t>ENDOSCOPY</t>
  </si>
  <si>
    <t>عهدة الأدوية المخدرة والمقيدة لقسم المناظير</t>
  </si>
  <si>
    <t>عائشة حماد سعد</t>
  </si>
  <si>
    <t>AKU</t>
  </si>
  <si>
    <t>عهدة الأدوية المخدرة والمقيدة لقسم وحده الكليه الصناعية</t>
  </si>
  <si>
    <t>رئيس قسم الكلية الصناعية</t>
  </si>
  <si>
    <t>عبدالرحمن عبدالله اللويمي</t>
  </si>
  <si>
    <t>Homecare</t>
  </si>
  <si>
    <t>عهدة الأدوية المخدرة والمقيدة لقسم الرعاية المنزلية</t>
  </si>
  <si>
    <t xml:space="preserve">Morphine </t>
  </si>
  <si>
    <t>طبيب قسم الطب المنزلي</t>
  </si>
  <si>
    <t>SHER MAOLA ABDELFATTAH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</si>
</sst>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yyyy"/>
    <numFmt numFmtId="165" formatCode="d/m/yyyy"/>
    <numFmt numFmtId="166" formatCode="dd/MM/yyyy"/>
    <numFmt numFmtId="167" formatCode="dd/mm/yyyy"/>
    <numFmt numFmtId="168" formatCode="m/d/yyyy"/>
  </numFmts>
  <fonts count="24">
    <font>
      <sz val="10.0"/>
      <color rgb="FF000000"/>
      <name val="Arial"/>
      <scheme val="minor"/>
    </font>
    <font>
      <b/>
      <sz val="11.0"/>
      <color theme="1"/>
      <name val="&quot;Times New Roman&quot;"/>
    </font>
    <font>
      <b/>
      <sz val="11.0"/>
      <color theme="1"/>
      <name val="Times New Roman"/>
    </font>
    <font>
      <b/>
      <sz val="16.0"/>
      <color theme="1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theme="1"/>
      <name val="&quot;Times New Roman&quot;"/>
    </font>
    <font>
      <color theme="1"/>
      <name val="Arial"/>
    </font>
    <font>
      <color theme="1"/>
      <name val="Arial"/>
      <scheme val="minor"/>
    </font>
    <font>
      <b/>
      <sz val="12.0"/>
      <color theme="1"/>
      <name val="&quot;Times New Roman&quot;"/>
    </font>
    <font>
      <b/>
      <sz val="11.0"/>
      <color theme="1"/>
      <name val="Arial"/>
    </font>
    <font/>
    <font>
      <b/>
      <sz val="14.0"/>
      <color theme="1"/>
      <name val="Arial"/>
    </font>
    <font>
      <sz val="12.0"/>
      <color theme="1"/>
      <name val="Arial"/>
    </font>
    <font>
      <b/>
      <color theme="1"/>
      <name val="Arial"/>
    </font>
    <font>
      <b/>
      <sz val="12.0"/>
      <color rgb="FF000000"/>
      <name val="Arial"/>
    </font>
    <font>
      <b/>
      <sz val="14.0"/>
      <color rgb="FF000000"/>
      <name val="Arial"/>
    </font>
    <font>
      <color rgb="FF000000"/>
      <name val="Arial"/>
    </font>
    <font>
      <sz val="16.0"/>
      <color theme="1"/>
      <name val="Arial"/>
    </font>
    <font>
      <b/>
      <sz val="11.0"/>
      <color theme="1"/>
      <name val="Arial"/>
      <scheme val="minor"/>
    </font>
    <font>
      <b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DD7E6B"/>
        <bgColor rgb="FFDD7E6B"/>
      </patternFill>
    </fill>
  </fills>
  <borders count="3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horizontal="center" readingOrder="0" vertical="top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164" xfId="0" applyAlignment="1" applyFont="1" applyNumberFormat="1">
      <alignment horizontal="center"/>
    </xf>
    <xf borderId="1" fillId="2" fontId="7" numFmtId="0" xfId="0" applyAlignment="1" applyBorder="1" applyFill="1" applyFont="1">
      <alignment horizontal="center" readingOrder="0" vertical="top"/>
    </xf>
    <xf borderId="1" fillId="2" fontId="7" numFmtId="0" xfId="0" applyAlignment="1" applyBorder="1" applyFont="1">
      <alignment horizontal="center" vertical="top"/>
    </xf>
    <xf borderId="2" fillId="2" fontId="7" numFmtId="0" xfId="0" applyAlignment="1" applyBorder="1" applyFont="1">
      <alignment horizontal="center" vertical="top"/>
    </xf>
    <xf borderId="2" fillId="2" fontId="7" numFmtId="165" xfId="0" applyAlignment="1" applyBorder="1" applyFont="1" applyNumberFormat="1">
      <alignment horizontal="center" vertical="top"/>
    </xf>
    <xf borderId="2" fillId="2" fontId="7" numFmtId="166" xfId="0" applyAlignment="1" applyBorder="1" applyFont="1" applyNumberFormat="1">
      <alignment horizontal="center" vertical="top"/>
    </xf>
    <xf borderId="1" fillId="3" fontId="8" numFmtId="0" xfId="0" applyAlignment="1" applyBorder="1" applyFill="1" applyFont="1">
      <alignment horizontal="center" readingOrder="0" vertical="top"/>
    </xf>
    <xf borderId="3" fillId="3" fontId="8" numFmtId="0" xfId="0" applyAlignment="1" applyBorder="1" applyFont="1">
      <alignment horizontal="center" readingOrder="0" vertical="top"/>
    </xf>
    <xf borderId="4" fillId="3" fontId="8" numFmtId="0" xfId="0" applyAlignment="1" applyBorder="1" applyFont="1">
      <alignment horizontal="center" readingOrder="0" vertical="top"/>
    </xf>
    <xf borderId="4" fillId="3" fontId="8" numFmtId="0" xfId="0" applyAlignment="1" applyBorder="1" applyFont="1">
      <alignment horizontal="center" vertical="top"/>
    </xf>
    <xf borderId="4" fillId="0" fontId="9" numFmtId="0" xfId="0" applyAlignment="1" applyBorder="1" applyFont="1">
      <alignment horizontal="center" readingOrder="0" vertical="top"/>
    </xf>
    <xf borderId="4" fillId="3" fontId="10" numFmtId="165" xfId="0" applyAlignment="1" applyBorder="1" applyFont="1" applyNumberFormat="1">
      <alignment horizontal="center" readingOrder="0" vertical="top"/>
    </xf>
    <xf borderId="4" fillId="3" fontId="10" numFmtId="166" xfId="0" applyAlignment="1" applyBorder="1" applyFont="1" applyNumberFormat="1">
      <alignment readingOrder="0" vertical="top"/>
    </xf>
    <xf borderId="1" fillId="3" fontId="10" numFmtId="166" xfId="0" applyAlignment="1" applyBorder="1" applyFont="1" applyNumberFormat="1">
      <alignment readingOrder="0" vertical="top"/>
    </xf>
    <xf borderId="1" fillId="4" fontId="8" numFmtId="0" xfId="0" applyAlignment="1" applyBorder="1" applyFill="1" applyFont="1">
      <alignment horizontal="center" readingOrder="0" vertical="top"/>
    </xf>
    <xf borderId="3" fillId="4" fontId="8" numFmtId="0" xfId="0" applyAlignment="1" applyBorder="1" applyFont="1">
      <alignment horizontal="center" readingOrder="0" vertical="top"/>
    </xf>
    <xf borderId="4" fillId="4" fontId="8" numFmtId="0" xfId="0" applyAlignment="1" applyBorder="1" applyFont="1">
      <alignment horizontal="center" readingOrder="0" vertical="top"/>
    </xf>
    <xf borderId="4" fillId="4" fontId="10" numFmtId="166" xfId="0" applyAlignment="1" applyBorder="1" applyFont="1" applyNumberFormat="1">
      <alignment horizontal="center" readingOrder="0" vertical="top"/>
    </xf>
    <xf borderId="4" fillId="4" fontId="10" numFmtId="166" xfId="0" applyAlignment="1" applyBorder="1" applyFont="1" applyNumberFormat="1">
      <alignment vertical="top"/>
    </xf>
    <xf borderId="1" fillId="4" fontId="10" numFmtId="166" xfId="0" applyAlignment="1" applyBorder="1" applyFont="1" applyNumberFormat="1">
      <alignment vertical="top"/>
    </xf>
    <xf borderId="1" fillId="3" fontId="10" numFmtId="166" xfId="0" applyAlignment="1" applyBorder="1" applyFont="1" applyNumberFormat="1">
      <alignment vertical="top"/>
    </xf>
    <xf borderId="4" fillId="4" fontId="8" numFmtId="0" xfId="0" applyAlignment="1" applyBorder="1" applyFont="1">
      <alignment horizontal="center" vertical="top"/>
    </xf>
    <xf borderId="1" fillId="4" fontId="10" numFmtId="166" xfId="0" applyAlignment="1" applyBorder="1" applyFont="1" applyNumberFormat="1">
      <alignment readingOrder="0" vertical="top"/>
    </xf>
    <xf borderId="0" fillId="0" fontId="11" numFmtId="167" xfId="0" applyAlignment="1" applyFont="1" applyNumberFormat="1">
      <alignment readingOrder="0"/>
    </xf>
    <xf borderId="1" fillId="4" fontId="10" numFmtId="165" xfId="0" applyAlignment="1" applyBorder="1" applyFont="1" applyNumberFormat="1">
      <alignment horizontal="center" readingOrder="0" vertical="top"/>
    </xf>
    <xf borderId="4" fillId="3" fontId="10" numFmtId="167" xfId="0" applyAlignment="1" applyBorder="1" applyFont="1" applyNumberFormat="1">
      <alignment readingOrder="0" vertical="top"/>
    </xf>
    <xf borderId="4" fillId="0" fontId="11" numFmtId="0" xfId="0" applyAlignment="1" applyBorder="1" applyFont="1">
      <alignment horizontal="center" readingOrder="0" vertical="top"/>
    </xf>
    <xf borderId="4" fillId="4" fontId="10" numFmtId="166" xfId="0" applyAlignment="1" applyBorder="1" applyFont="1" applyNumberFormat="1">
      <alignment readingOrder="0" vertical="top"/>
    </xf>
    <xf borderId="0" fillId="5" fontId="12" numFmtId="0" xfId="0" applyAlignment="1" applyFill="1" applyFont="1">
      <alignment horizontal="center" readingOrder="0" vertical="top"/>
    </xf>
    <xf borderId="0" fillId="5" fontId="9" numFmtId="0" xfId="0" applyAlignment="1" applyFont="1">
      <alignment horizontal="center" readingOrder="0" vertical="top"/>
    </xf>
    <xf borderId="0" fillId="0" fontId="10" numFmtId="0" xfId="0" applyAlignment="1" applyFont="1">
      <alignment vertical="bottom"/>
    </xf>
    <xf borderId="5" fillId="0" fontId="13" numFmtId="0" xfId="0" applyAlignment="1" applyBorder="1" applyFont="1">
      <alignment horizontal="center" readingOrder="0" shrinkToFit="0" vertical="center" wrapText="1"/>
    </xf>
    <xf borderId="6" fillId="0" fontId="14" numFmtId="0" xfId="0" applyBorder="1" applyFont="1"/>
    <xf borderId="2" fillId="0" fontId="14" numFmtId="0" xfId="0" applyBorder="1" applyFont="1"/>
    <xf borderId="7" fillId="0" fontId="13" numFmtId="0" xfId="0" applyAlignment="1" applyBorder="1" applyFont="1">
      <alignment horizontal="center" readingOrder="0" shrinkToFit="0" vertical="center" wrapText="1"/>
    </xf>
    <xf borderId="8" fillId="0" fontId="14" numFmtId="0" xfId="0" applyBorder="1" applyFont="1"/>
    <xf borderId="9" fillId="0" fontId="14" numFmtId="0" xfId="0" applyBorder="1" applyFont="1"/>
    <xf borderId="7" fillId="0" fontId="15" numFmtId="0" xfId="0" applyAlignment="1" applyBorder="1" applyFont="1">
      <alignment horizontal="center" readingOrder="0" vertical="center"/>
    </xf>
    <xf borderId="10" fillId="0" fontId="14" numFmtId="0" xfId="0" applyBorder="1" applyFont="1"/>
    <xf borderId="11" fillId="0" fontId="14" numFmtId="0" xfId="0" applyBorder="1" applyFont="1"/>
    <xf borderId="12" fillId="0" fontId="14" numFmtId="0" xfId="0" applyBorder="1" applyFont="1"/>
    <xf borderId="13" fillId="0" fontId="14" numFmtId="0" xfId="0" applyBorder="1" applyFont="1"/>
    <xf borderId="4" fillId="0" fontId="14" numFmtId="0" xfId="0" applyBorder="1" applyFont="1"/>
    <xf borderId="0" fillId="0" fontId="10" numFmtId="0" xfId="0" applyAlignment="1" applyFont="1">
      <alignment vertical="top"/>
    </xf>
    <xf borderId="0" fillId="0" fontId="10" numFmtId="0" xfId="0" applyAlignment="1" applyFont="1">
      <alignment vertical="top"/>
    </xf>
    <xf borderId="0" fillId="0" fontId="15" numFmtId="0" xfId="0" applyAlignment="1" applyFon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0" fillId="3" fontId="10" numFmtId="0" xfId="0" applyAlignment="1" applyFont="1">
      <alignment vertical="top"/>
    </xf>
    <xf borderId="0" fillId="6" fontId="17" numFmtId="0" xfId="0" applyAlignment="1" applyFill="1" applyFont="1">
      <alignment horizontal="center" vertical="top"/>
    </xf>
    <xf borderId="0" fillId="6" fontId="7" numFmtId="0" xfId="0" applyAlignment="1" applyFont="1">
      <alignment horizontal="center" vertical="top"/>
    </xf>
    <xf borderId="0" fillId="3" fontId="10" numFmtId="0" xfId="0" applyAlignment="1" applyFont="1">
      <alignment horizontal="center" readingOrder="0" vertical="top"/>
    </xf>
    <xf borderId="0" fillId="3" fontId="18" numFmtId="0" xfId="0" applyAlignment="1" applyFont="1">
      <alignment horizontal="left" readingOrder="0"/>
    </xf>
    <xf borderId="4" fillId="3" fontId="10" numFmtId="167" xfId="0" applyAlignment="1" applyBorder="1" applyFont="1" applyNumberFormat="1">
      <alignment horizontal="center" readingOrder="0" vertical="top"/>
    </xf>
    <xf borderId="4" fillId="4" fontId="10" numFmtId="167" xfId="0" applyAlignment="1" applyBorder="1" applyFont="1" applyNumberFormat="1">
      <alignment horizontal="center" readingOrder="0" vertical="top"/>
    </xf>
    <xf borderId="4" fillId="3" fontId="10" numFmtId="168" xfId="0" applyAlignment="1" applyBorder="1" applyFont="1" applyNumberFormat="1">
      <alignment readingOrder="0" vertical="top"/>
    </xf>
    <xf borderId="4" fillId="3" fontId="10" numFmtId="165" xfId="0" applyAlignment="1" applyBorder="1" applyFont="1" applyNumberFormat="1">
      <alignment readingOrder="0" vertical="top"/>
    </xf>
    <xf borderId="14" fillId="0" fontId="13" numFmtId="0" xfId="0" applyAlignment="1" applyBorder="1" applyFont="1">
      <alignment horizontal="center" readingOrder="0" shrinkToFit="0" vertical="center" wrapText="1"/>
    </xf>
    <xf borderId="15" fillId="0" fontId="14" numFmtId="0" xfId="0" applyBorder="1" applyFont="1"/>
    <xf borderId="16" fillId="0" fontId="14" numFmtId="0" xfId="0" applyBorder="1" applyFont="1"/>
    <xf borderId="17" fillId="0" fontId="13" numFmtId="0" xfId="0" applyAlignment="1" applyBorder="1" applyFont="1">
      <alignment horizontal="center" readingOrder="0" shrinkToFit="0" vertical="center" wrapText="1"/>
    </xf>
    <xf borderId="18" fillId="0" fontId="14" numFmtId="0" xfId="0" applyBorder="1" applyFont="1"/>
    <xf borderId="19" fillId="0" fontId="14" numFmtId="0" xfId="0" applyBorder="1" applyFont="1"/>
    <xf borderId="18" fillId="0" fontId="13" numFmtId="0" xfId="0" applyAlignment="1" applyBorder="1" applyFont="1">
      <alignment horizontal="center" readingOrder="0" shrinkToFit="0" vertical="center" wrapText="1"/>
    </xf>
    <xf borderId="20" fillId="0" fontId="15" numFmtId="0" xfId="0" applyAlignment="1" applyBorder="1" applyFont="1">
      <alignment horizontal="center" readingOrder="0" vertical="center"/>
    </xf>
    <xf borderId="21" fillId="0" fontId="14" numFmtId="0" xfId="0" applyBorder="1" applyFont="1"/>
    <xf borderId="22" fillId="0" fontId="14" numFmtId="0" xfId="0" applyBorder="1" applyFont="1"/>
    <xf borderId="21" fillId="0" fontId="15" numFmtId="0" xfId="0" applyAlignment="1" applyBorder="1" applyFont="1">
      <alignment horizontal="center" readingOrder="0" vertical="center"/>
    </xf>
    <xf borderId="0" fillId="3" fontId="19" numFmtId="0" xfId="0" applyAlignment="1" applyFont="1">
      <alignment horizontal="center" readingOrder="0"/>
    </xf>
    <xf borderId="23" fillId="0" fontId="14" numFmtId="0" xfId="0" applyBorder="1" applyFont="1"/>
    <xf borderId="13" fillId="0" fontId="15" numFmtId="0" xfId="0" applyAlignment="1" applyBorder="1" applyFont="1">
      <alignment horizontal="center" readingOrder="0" vertical="center"/>
    </xf>
    <xf borderId="24" fillId="0" fontId="14" numFmtId="0" xfId="0" applyBorder="1" applyFont="1"/>
    <xf borderId="25" fillId="0" fontId="14" numFmtId="0" xfId="0" applyBorder="1" applyFont="1"/>
    <xf borderId="26" fillId="0" fontId="14" numFmtId="0" xfId="0" applyBorder="1" applyFont="1"/>
    <xf borderId="0" fillId="0" fontId="11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3" fontId="7" numFmtId="0" xfId="0" applyAlignment="1" applyFont="1">
      <alignment horizontal="center" vertical="top"/>
    </xf>
    <xf borderId="0" fillId="0" fontId="4" numFmtId="164" xfId="0" applyAlignment="1" applyFont="1" applyNumberFormat="1">
      <alignment horizontal="center"/>
    </xf>
    <xf borderId="0" fillId="3" fontId="7" numFmtId="165" xfId="0" applyAlignment="1" applyFont="1" applyNumberFormat="1">
      <alignment horizontal="center" vertical="top"/>
    </xf>
    <xf borderId="0" fillId="3" fontId="7" numFmtId="166" xfId="0" applyAlignment="1" applyFont="1" applyNumberFormat="1">
      <alignment horizontal="center" vertical="top"/>
    </xf>
    <xf borderId="4" fillId="3" fontId="10" numFmtId="166" xfId="0" applyAlignment="1" applyBorder="1" applyFont="1" applyNumberFormat="1">
      <alignment horizontal="center" readingOrder="0" vertical="top"/>
    </xf>
    <xf borderId="1" fillId="4" fontId="10" numFmtId="166" xfId="0" applyAlignment="1" applyBorder="1" applyFont="1" applyNumberFormat="1">
      <alignment horizontal="center" readingOrder="0" vertical="top"/>
    </xf>
    <xf borderId="1" fillId="0" fontId="11" numFmtId="0" xfId="0" applyBorder="1" applyFont="1"/>
    <xf borderId="27" fillId="0" fontId="15" numFmtId="0" xfId="0" applyAlignment="1" applyBorder="1" applyFont="1">
      <alignment horizontal="center" readingOrder="0" vertical="center"/>
    </xf>
    <xf borderId="28" fillId="0" fontId="14" numFmtId="0" xfId="0" applyBorder="1" applyFont="1"/>
    <xf borderId="25" fillId="0" fontId="15" numFmtId="0" xfId="0" applyAlignment="1" applyBorder="1" applyFont="1">
      <alignment horizontal="center" readingOrder="0" vertical="center"/>
    </xf>
    <xf borderId="29" fillId="0" fontId="14" numFmtId="0" xfId="0" applyBorder="1" applyFont="1"/>
    <xf borderId="0" fillId="0" fontId="10" numFmtId="0" xfId="0" applyAlignment="1" applyFont="1">
      <alignment readingOrder="0" vertical="top"/>
    </xf>
    <xf borderId="0" fillId="3" fontId="20" numFmtId="0" xfId="0" applyAlignment="1" applyFont="1">
      <alignment horizontal="left" readingOrder="0"/>
    </xf>
    <xf borderId="0" fillId="0" fontId="21" numFmtId="0" xfId="0" applyAlignment="1" applyFont="1">
      <alignment horizontal="center" readingOrder="0" vertical="center"/>
    </xf>
    <xf borderId="0" fillId="0" fontId="21" numFmtId="0" xfId="0" applyAlignment="1" applyFont="1">
      <alignment vertical="top"/>
    </xf>
    <xf borderId="0" fillId="0" fontId="21" numFmtId="0" xfId="0" applyAlignment="1" applyFont="1">
      <alignment vertical="top"/>
    </xf>
    <xf borderId="4" fillId="4" fontId="10" numFmtId="167" xfId="0" applyAlignment="1" applyBorder="1" applyFont="1" applyNumberFormat="1">
      <alignment readingOrder="0" vertical="top"/>
    </xf>
    <xf borderId="1" fillId="4" fontId="10" numFmtId="166" xfId="0" applyAlignment="1" applyBorder="1" applyFont="1" applyNumberFormat="1">
      <alignment horizontal="center" vertical="top"/>
    </xf>
    <xf borderId="0" fillId="0" fontId="22" numFmtId="0" xfId="0" applyAlignment="1" applyFont="1">
      <alignment horizontal="center" readingOrder="0"/>
    </xf>
    <xf borderId="0" fillId="3" fontId="8" numFmtId="0" xfId="0" applyAlignment="1" applyFont="1">
      <alignment horizontal="center" readingOrder="0" vertical="top"/>
    </xf>
    <xf borderId="0" fillId="4" fontId="8" numFmtId="0" xfId="0" applyAlignment="1" applyFont="1">
      <alignment horizontal="center" readingOrder="0" vertical="top"/>
    </xf>
    <xf borderId="4" fillId="3" fontId="10" numFmtId="166" xfId="0" applyAlignment="1" applyBorder="1" applyFont="1" applyNumberFormat="1">
      <alignment vertical="top"/>
    </xf>
    <xf borderId="4" fillId="3" fontId="10" numFmtId="0" xfId="0" applyAlignment="1" applyBorder="1" applyFont="1">
      <alignment readingOrder="0" vertical="top"/>
    </xf>
    <xf borderId="10" fillId="0" fontId="15" numFmtId="0" xfId="0" applyAlignment="1" applyBorder="1" applyFont="1">
      <alignment horizontal="center" readingOrder="0" vertical="center"/>
    </xf>
    <xf borderId="12" fillId="0" fontId="15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/>
    </xf>
    <xf borderId="4" fillId="4" fontId="10" numFmtId="165" xfId="0" applyAlignment="1" applyBorder="1" applyFont="1" applyNumberFormat="1">
      <alignment horizontal="center" readingOrder="0" vertical="top"/>
    </xf>
    <xf borderId="0" fillId="0" fontId="17" numFmtId="167" xfId="0" applyAlignment="1" applyFont="1" applyNumberFormat="1">
      <alignment readingOrder="0"/>
    </xf>
    <xf borderId="1" fillId="3" fontId="8" numFmtId="0" xfId="0" applyAlignment="1" applyBorder="1" applyFont="1">
      <alignment horizontal="center" vertical="top"/>
    </xf>
    <xf borderId="30" fillId="0" fontId="14" numFmtId="0" xfId="0" applyBorder="1" applyFont="1"/>
    <xf borderId="0" fillId="3" fontId="19" numFmtId="0" xfId="0" applyAlignment="1" applyFont="1">
      <alignment horizontal="center" readingOrder="0"/>
    </xf>
    <xf borderId="1" fillId="4" fontId="10" numFmtId="165" xfId="0" applyAlignment="1" applyBorder="1" applyFont="1" applyNumberFormat="1">
      <alignment readingOrder="0" vertical="top"/>
    </xf>
    <xf borderId="21" fillId="0" fontId="2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</font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</dxfs>
  <tableStyles count="15">
    <tableStyle count="3" pivot="0" name="Emergency-style">
      <tableStyleElement dxfId="1" type="headerRow"/>
      <tableStyleElement dxfId="2" type="firstRowStripe"/>
      <tableStyleElement dxfId="3" type="secondRowStripe"/>
    </tableStyle>
    <tableStyle count="3" pivot="0" name="ICU-style">
      <tableStyleElement dxfId="1" type="headerRow"/>
      <tableStyleElement dxfId="2" type="firstRowStripe"/>
      <tableStyleElement dxfId="3" type="secondRowStripe"/>
    </tableStyle>
    <tableStyle count="3" pivot="0" name=" ANESTHESIA-style">
      <tableStyleElement dxfId="1" type="headerRow"/>
      <tableStyleElement dxfId="2" type="firstRowStripe"/>
      <tableStyleElement dxfId="3" type="secondRowStripe"/>
    </tableStyle>
    <tableStyle count="3" pivot="0" name="MMW-style">
      <tableStyleElement dxfId="1" type="headerRow"/>
      <tableStyleElement dxfId="2" type="firstRowStripe"/>
      <tableStyleElement dxfId="3" type="secondRowStripe"/>
    </tableStyle>
    <tableStyle count="2" pivot="0" name="MMW-style 2">
      <tableStyleElement dxfId="3" type="firstRowStripe"/>
      <tableStyleElement dxfId="2" type="secondRowStripe"/>
    </tableStyle>
    <tableStyle count="3" pivot="0" name="MSW-style">
      <tableStyleElement dxfId="1" type="headerRow"/>
      <tableStyleElement dxfId="2" type="firstRowStripe"/>
      <tableStyleElement dxfId="3" type="secondRowStripe"/>
    </tableStyle>
    <tableStyle count="3" pivot="0" name="FMW-style">
      <tableStyleElement dxfId="1" type="headerRow"/>
      <tableStyleElement dxfId="2" type="firstRowStripe"/>
      <tableStyleElement dxfId="3" type="secondRowStripe"/>
    </tableStyle>
    <tableStyle count="3" pivot="0" name="CCU-style">
      <tableStyleElement dxfId="1" type="headerRow"/>
      <tableStyleElement dxfId="2" type="firstRowStripe"/>
      <tableStyleElement dxfId="3" type="secondRowStripe"/>
    </tableStyle>
    <tableStyle count="3" pivot="0" name="FSW-style">
      <tableStyleElement dxfId="1" type="headerRow"/>
      <tableStyleElement dxfId="2" type="firstRowStripe"/>
      <tableStyleElement dxfId="3" type="secondRowStripe"/>
    </tableStyle>
    <tableStyle count="3" pivot="0" name="OBW-style">
      <tableStyleElement dxfId="1" type="headerRow"/>
      <tableStyleElement dxfId="2" type="firstRowStripe"/>
      <tableStyleElement dxfId="3" type="secondRowStripe"/>
    </tableStyle>
    <tableStyle count="3" pivot="0" name="PEDIA-style">
      <tableStyleElement dxfId="1" type="headerRow"/>
      <tableStyleElement dxfId="2" type="firstRowStripe"/>
      <tableStyleElement dxfId="3" type="secondRowStripe"/>
    </tableStyle>
    <tableStyle count="3" pivot="0" name="Nursery-style">
      <tableStyleElement dxfId="1" type="headerRow"/>
      <tableStyleElement dxfId="2" type="firstRowStripe"/>
      <tableStyleElement dxfId="3" type="secondRowStripe"/>
    </tableStyle>
    <tableStyle count="3" pivot="0" name="ENDOSCOPY UNIT-style">
      <tableStyleElement dxfId="1" type="headerRow"/>
      <tableStyleElement dxfId="2" type="firstRowStripe"/>
      <tableStyleElement dxfId="3" type="secondRowStripe"/>
    </tableStyle>
    <tableStyle count="3" pivot="0" name="AKU-style">
      <tableStyleElement dxfId="1" type="headerRow"/>
      <tableStyleElement dxfId="2" type="firstRowStripe"/>
      <tableStyleElement dxfId="3" type="secondRowStripe"/>
    </tableStyle>
    <tableStyle count="3" pivot="0" name="HOME CAR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895600" cy="10382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52700" cy="9144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52700" cy="9144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2552700" cy="9144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52700" cy="9144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52700" cy="9144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2552700" cy="9144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52700" cy="9144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886075" cy="10287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705100" cy="9715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52700" cy="9144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52700" cy="9144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52700" cy="9144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2552700" cy="9144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Beth Prieto" id="{18af8e0e-23d3-477c-9cd0-8b61557fd981}" providerId="google-sheets"/>
</x18tc:personList>
</file>

<file path=xl/tables/table1.xml><?xml version="1.0" encoding="utf-8"?>
<table xmlns="http://schemas.openxmlformats.org/spreadsheetml/2006/main" ref="A14:I24" displayName="Table_1" name="Table_1" id="1">
  <tableColumns count="9">
    <tableColumn name="Code NO" id="1"/>
    <tableColumn name="Generic Name" id="2"/>
    <tableColumn name="Strength" id="3"/>
    <tableColumn name="Dosage Form" id="4"/>
    <tableColumn name="Std. Qty." id="5"/>
    <tableColumn name="Present" id="6"/>
    <tableColumn name="Exp. Date" id="7"/>
    <tableColumn name="Exp. Date 2" id="8"/>
    <tableColumn name="Exp. Date 3" id="9"/>
  </tableColumns>
  <tableStyleInfo name="Emergency-style" showColumnStripes="0" showFirstColumn="1" showLastColumn="1" showRowStripes="1"/>
</table>
</file>

<file path=xl/tables/table2.xml><?xml version="1.0" encoding="utf-8"?>
<table xmlns="http://schemas.openxmlformats.org/spreadsheetml/2006/main" ref="A13:I24" displayName="Table_2" name="Table_2" id="2">
  <tableColumns count="9">
    <tableColumn name="Code NO" id="1"/>
    <tableColumn name="Generic Name" id="2"/>
    <tableColumn name="Strength" id="3"/>
    <tableColumn name="Dosage Form" id="4"/>
    <tableColumn name="Std. Qty." id="5"/>
    <tableColumn name="Present" id="6"/>
    <tableColumn name="Exp. Date" id="7"/>
    <tableColumn name="Exp. Date 2" id="8"/>
    <tableColumn name="Exp. Date 3" id="9"/>
  </tableColumns>
  <tableStyleInfo name="ICU-style" showColumnStripes="0" showFirstColumn="1" showLastColumn="1" showRowStripes="1"/>
</table>
</file>

<file path=xl/tables/table3.xml><?xml version="1.0" encoding="utf-8"?>
<table xmlns="http://schemas.openxmlformats.org/spreadsheetml/2006/main" ref="A15:I20" displayName="Table_3" name="Table_3" id="3">
  <tableColumns count="9">
    <tableColumn name="Code NO" id="1"/>
    <tableColumn name="Generic Name" id="2"/>
    <tableColumn name="Strength" id="3"/>
    <tableColumn name="Dosage Form" id="4"/>
    <tableColumn name="Std. Qty." id="5"/>
    <tableColumn name="Present" id="6"/>
    <tableColumn name="Exp. Date" id="7"/>
    <tableColumn name="Exp. Date 2" id="8"/>
    <tableColumn name="Exp. Date 3" id="9"/>
  </tableColumns>
  <tableStyleInfo name=" ANESTHESIA-style" showColumnStripes="0" showFirstColumn="1" showLastColumn="1" showRowStripes="1"/>
</table>
</file>

<file path=xl/tables/table4.xml><?xml version="1.0" encoding="utf-8"?>
<table xmlns="http://schemas.openxmlformats.org/spreadsheetml/2006/main" ref="A13:I18" displayName="Table_4" name="Table_4" id="4">
  <tableColumns count="9">
    <tableColumn name="Code NO" id="1"/>
    <tableColumn name="Generic Name" id="2"/>
    <tableColumn name="Strength" id="3"/>
    <tableColumn name="Dosage Form" id="4"/>
    <tableColumn name="Std. Qty." id="5"/>
    <tableColumn name="Present" id="6"/>
    <tableColumn name="Exp. Date" id="7"/>
    <tableColumn name="Exp. Date 2" id="8"/>
    <tableColumn name="Exp. Date 3" id="9"/>
  </tableColumns>
  <tableStyleInfo name="MMW-style" showColumnStripes="0" showFirstColumn="1" showLastColumn="1" showRowStripes="1"/>
</table>
</file>

<file path=xl/tables/table5.xml><?xml version="1.0" encoding="utf-8"?>
<table xmlns="http://schemas.openxmlformats.org/spreadsheetml/2006/main" headerRowCount="0" ref="G19:H19" displayName="Table_5" name="Table_5" id="5">
  <tableColumns count="2">
    <tableColumn name="Column1" id="1"/>
    <tableColumn name="Column2" id="2"/>
  </tableColumns>
  <tableStyleInfo name="MMW-style 2" showColumnStripes="0" showFirstColumn="1" showLastColumn="1" showRowStripes="1"/>
</table>
</file>

<file path=xl/tables/table6.xml><?xml version="1.0" encoding="utf-8"?>
<table xmlns="http://schemas.openxmlformats.org/spreadsheetml/2006/main" ref="A13:I18" displayName="Table_6" name="Table_6" id="6">
  <tableColumns count="9">
    <tableColumn name="Code NO" id="1"/>
    <tableColumn name="Generic Name" id="2"/>
    <tableColumn name="Strength" id="3"/>
    <tableColumn name="Dosage Form" id="4"/>
    <tableColumn name="Std. Qty." id="5"/>
    <tableColumn name="Present" id="6"/>
    <tableColumn name="Exp. Date" id="7"/>
    <tableColumn name="Exp. Date 2" id="8"/>
    <tableColumn name="Exp. Date 3" id="9"/>
  </tableColumns>
  <tableStyleInfo name="MSW-style" showColumnStripes="0" showFirstColumn="1" showLastColumn="1" showRowStripes="1"/>
</table>
</file>

<file path=xl/tables/table7.xml><?xml version="1.0" encoding="utf-8"?>
<table xmlns="http://schemas.openxmlformats.org/spreadsheetml/2006/main" ref="A12:I18" displayName="Table_7" name="Table_7" id="7">
  <tableColumns count="9">
    <tableColumn name="Code NO" id="1"/>
    <tableColumn name="Generic Name" id="2"/>
    <tableColumn name="Strength" id="3"/>
    <tableColumn name="Dosage Form" id="4"/>
    <tableColumn name="Std. Qty." id="5"/>
    <tableColumn name="Present" id="6"/>
    <tableColumn name="Exp. Date" id="7"/>
    <tableColumn name="Exp. Date 2" id="8"/>
    <tableColumn name="Exp. Date 3" id="9"/>
  </tableColumns>
  <tableStyleInfo name="FMW-style" showColumnStripes="0" showFirstColumn="1" showLastColumn="1" showRowStripes="1"/>
</table>
</file>

<file path=xl/tables/table8.xml><?xml version="1.0" encoding="utf-8"?>
<table xmlns="http://schemas.openxmlformats.org/spreadsheetml/2006/main" ref="A13:H16" displayName="Table_8" name="Table_8" id="8">
  <tableColumns count="8">
    <tableColumn name="Generic Name" id="1"/>
    <tableColumn name="Strength" id="2"/>
    <tableColumn name="Dosage Form" id="3"/>
    <tableColumn name="Std. Qty." id="4"/>
    <tableColumn name="Present" id="5"/>
    <tableColumn name="Exp. Date" id="6"/>
    <tableColumn name="Exp. Date 2" id="7"/>
    <tableColumn name="Exp. Date 3" id="8"/>
  </tableColumns>
  <tableStyleInfo name="CCU-style" showColumnStripes="0" showFirstColumn="1" showLastColumn="1" showRowStripes="1"/>
</table>
</file>

<file path=xl/tables/table9.xml><?xml version="1.0" encoding="utf-8"?>
<table xmlns="http://schemas.openxmlformats.org/spreadsheetml/2006/main" ref="A12:I16" displayName="Table_9" name="Table_9" id="9">
  <tableColumns count="9">
    <tableColumn name="Code NO" id="1"/>
    <tableColumn name="Generic Name" id="2"/>
    <tableColumn name="Strength" id="3"/>
    <tableColumn name="Dosage Form" id="4"/>
    <tableColumn name="Std. Qty." id="5"/>
    <tableColumn name="Present" id="6"/>
    <tableColumn name="Exp. Date" id="7"/>
    <tableColumn name="Exp. Date 2" id="8"/>
    <tableColumn name="Exp. Date 3" id="9"/>
  </tableColumns>
  <tableStyleInfo name="FSW-style" showColumnStripes="0" showFirstColumn="1" showLastColumn="1" showRowStripes="1"/>
</table>
</file>

<file path=xl/tables/table10.xml><?xml version="1.0" encoding="utf-8"?>
<table xmlns="http://schemas.openxmlformats.org/spreadsheetml/2006/main" ref="A13:I15" displayName="Table_10" name="Table_10" id="10">
  <tableColumns count="9">
    <tableColumn name="Code NO" id="1"/>
    <tableColumn name="Generic Name" id="2"/>
    <tableColumn name="Strength" id="3"/>
    <tableColumn name="Dosage Form" id="4"/>
    <tableColumn name="Std. Qty." id="5"/>
    <tableColumn name="Present" id="6"/>
    <tableColumn name="Exp. Date" id="7"/>
    <tableColumn name="Exp. Date 2" id="8"/>
    <tableColumn name="Exp. Date 3" id="9"/>
  </tableColumns>
  <tableStyleInfo name="OBW-style" showColumnStripes="0" showFirstColumn="1" showLastColumn="1" showRowStripes="1"/>
</table>
</file>

<file path=xl/tables/table11.xml><?xml version="1.0" encoding="utf-8"?>
<table xmlns="http://schemas.openxmlformats.org/spreadsheetml/2006/main" ref="A13:I20" displayName="Table_11" name="Table_11" id="11">
  <tableColumns count="9">
    <tableColumn name="Code NO" id="1"/>
    <tableColumn name="Generic Name" id="2"/>
    <tableColumn name="Strength" id="3"/>
    <tableColumn name="Dosage Form" id="4"/>
    <tableColumn name="Std. Qty." id="5"/>
    <tableColumn name="Present" id="6"/>
    <tableColumn name="Exp. Date" id="7"/>
    <tableColumn name="Exp. Date 2" id="8"/>
    <tableColumn name="Exp. Date 3" id="9"/>
  </tableColumns>
  <tableStyleInfo name="PEDIA-style" showColumnStripes="0" showFirstColumn="1" showLastColumn="1" showRowStripes="1"/>
</table>
</file>

<file path=xl/tables/table12.xml><?xml version="1.0" encoding="utf-8"?>
<table xmlns="http://schemas.openxmlformats.org/spreadsheetml/2006/main" ref="A13:I18" displayName="Table_12" name="Table_12" id="12">
  <tableColumns count="9">
    <tableColumn name="Code NO" id="1"/>
    <tableColumn name="Generic Name" id="2"/>
    <tableColumn name="Strength" id="3"/>
    <tableColumn name="Dosage Form" id="4"/>
    <tableColumn name="Std. Qty." id="5"/>
    <tableColumn name="Present" id="6"/>
    <tableColumn name="Exp. Date" id="7"/>
    <tableColumn name="Exp. Date 2" id="8"/>
    <tableColumn name="Exp. Date 3" id="9"/>
  </tableColumns>
  <tableStyleInfo name="Nursery-style" showColumnStripes="0" showFirstColumn="1" showLastColumn="1" showRowStripes="1"/>
</table>
</file>

<file path=xl/tables/table13.xml><?xml version="1.0" encoding="utf-8"?>
<table xmlns="http://schemas.openxmlformats.org/spreadsheetml/2006/main" ref="A13:I17" displayName="Table_13" name="Table_13" id="13">
  <tableColumns count="9">
    <tableColumn name="Code NO" id="1"/>
    <tableColumn name="Generic Name" id="2"/>
    <tableColumn name="Strength" id="3"/>
    <tableColumn name="Dosage Form" id="4"/>
    <tableColumn name="Std. Qty." id="5"/>
    <tableColumn name="Present" id="6"/>
    <tableColumn name="Exp. Date" id="7"/>
    <tableColumn name="Exp. Date 2" id="8"/>
    <tableColumn name="Exp. Date 3" id="9"/>
  </tableColumns>
  <tableStyleInfo name="ENDOSCOPY UNIT-style" showColumnStripes="0" showFirstColumn="1" showLastColumn="1" showRowStripes="1"/>
</table>
</file>

<file path=xl/tables/table14.xml><?xml version="1.0" encoding="utf-8"?>
<table xmlns="http://schemas.openxmlformats.org/spreadsheetml/2006/main" ref="A12:I14" displayName="Table_14" name="Table_14" id="14">
  <tableColumns count="9">
    <tableColumn name="Code NO" id="1"/>
    <tableColumn name="Generic Name" id="2"/>
    <tableColumn name="Strength" id="3"/>
    <tableColumn name="Dosage Form" id="4"/>
    <tableColumn name="Std. Qty." id="5"/>
    <tableColumn name="Present" id="6"/>
    <tableColumn name="Exp. Date" id="7"/>
    <tableColumn name="Exp. Date 2" id="8"/>
    <tableColumn name="Exp. Date 3" id="9"/>
  </tableColumns>
  <tableStyleInfo name="AKU-style" showColumnStripes="0" showFirstColumn="1" showLastColumn="1" showRowStripes="1"/>
</table>
</file>

<file path=xl/tables/table15.xml><?xml version="1.0" encoding="utf-8"?>
<table xmlns="http://schemas.openxmlformats.org/spreadsheetml/2006/main" ref="A13:H14" displayName="Table_15" name="Table_15" id="15">
  <tableColumns count="8">
    <tableColumn name="Generic Name" id="1"/>
    <tableColumn name="Strength" id="2"/>
    <tableColumn name="Dosage Form" id="3"/>
    <tableColumn name="Std. Qty." id="4"/>
    <tableColumn name="Present" id="5"/>
    <tableColumn name="Exp. Date" id="6"/>
    <tableColumn name="Exp. Date 2" id="7"/>
    <tableColumn name="Exp. Date 3" id="8"/>
  </tableColumns>
  <tableStyleInfo name="HOME CA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9" dT="2026-04-28T14:05:51.00" personId="{18af8e0e-23d3-477c-9cd0-8b61557fd981}" id="{37b775d5-74f8-4a7c-bb4f-28163194a20f}" done="1">
    <x18tc:text xml:space="preserve">31/05/2026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0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3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4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5.5"/>
    <col customWidth="1" min="3" max="3" width="11.88"/>
    <col customWidth="1" min="4" max="4" width="19.25"/>
    <col customWidth="1" min="5" max="5" width="8.0"/>
    <col customWidth="1" min="6" max="6" width="7.63"/>
    <col customWidth="1" min="7" max="8" width="9.0"/>
    <col customWidth="1" min="9" max="9" width="10.0"/>
  </cols>
  <sheetData>
    <row r="1">
      <c r="E1" s="1"/>
      <c r="F1" s="2" t="s">
        <v>0</v>
      </c>
    </row>
    <row r="2">
      <c r="F2" s="2" t="s">
        <v>1</v>
      </c>
    </row>
    <row r="3">
      <c r="E3" s="1"/>
      <c r="F3" s="3" t="s">
        <v>2</v>
      </c>
    </row>
    <row r="4">
      <c r="F4" s="2" t="s">
        <v>3</v>
      </c>
    </row>
    <row r="10">
      <c r="C10" s="4" t="s">
        <v>4</v>
      </c>
    </row>
    <row r="11">
      <c r="B11" s="5" t="s">
        <v>5</v>
      </c>
    </row>
    <row r="12">
      <c r="C12" s="6" t="s">
        <v>6</v>
      </c>
    </row>
    <row r="13">
      <c r="D13" s="7">
        <f>today()+4</f>
        <v>46220</v>
      </c>
    </row>
    <row r="14">
      <c r="A14" s="8" t="s">
        <v>7</v>
      </c>
      <c r="B14" s="9" t="s">
        <v>8</v>
      </c>
      <c r="C14" s="10" t="s">
        <v>9</v>
      </c>
      <c r="D14" s="10" t="s">
        <v>10</v>
      </c>
      <c r="E14" s="10" t="s">
        <v>11</v>
      </c>
      <c r="F14" s="10" t="s">
        <v>12</v>
      </c>
      <c r="G14" s="11" t="s">
        <v>13</v>
      </c>
      <c r="H14" s="12" t="s">
        <v>14</v>
      </c>
      <c r="I14" s="12" t="s">
        <v>15</v>
      </c>
    </row>
    <row r="15">
      <c r="A15" s="13">
        <v>5.4506487E8</v>
      </c>
      <c r="B15" s="14" t="s">
        <v>16</v>
      </c>
      <c r="C15" s="15" t="s">
        <v>17</v>
      </c>
      <c r="D15" s="16" t="s">
        <v>18</v>
      </c>
      <c r="E15" s="17">
        <v>10.0</v>
      </c>
      <c r="F15" s="17">
        <v>10.0</v>
      </c>
      <c r="G15" s="18">
        <v>47026.0</v>
      </c>
      <c r="H15" s="19">
        <v>47087.0</v>
      </c>
      <c r="I15" s="20">
        <v>46233.0</v>
      </c>
    </row>
    <row r="16">
      <c r="A16" s="21">
        <v>5.45031365E8</v>
      </c>
      <c r="B16" s="22" t="s">
        <v>16</v>
      </c>
      <c r="C16" s="23" t="s">
        <v>19</v>
      </c>
      <c r="D16" s="23" t="s">
        <v>20</v>
      </c>
      <c r="E16" s="17">
        <v>5.0</v>
      </c>
      <c r="F16" s="17">
        <v>4.0</v>
      </c>
      <c r="G16" s="24">
        <v>46507.0</v>
      </c>
      <c r="H16" s="25"/>
      <c r="I16" s="26"/>
    </row>
    <row r="17">
      <c r="A17" s="13">
        <v>5.45024065E8</v>
      </c>
      <c r="B17" s="14" t="s">
        <v>21</v>
      </c>
      <c r="C17" s="15" t="s">
        <v>22</v>
      </c>
      <c r="D17" s="16" t="s">
        <v>18</v>
      </c>
      <c r="E17" s="17">
        <v>5.0</v>
      </c>
      <c r="F17" s="17">
        <v>5.0</v>
      </c>
      <c r="G17" s="19">
        <v>46752.0</v>
      </c>
      <c r="H17" s="19"/>
      <c r="I17" s="27"/>
    </row>
    <row r="18">
      <c r="A18" s="21">
        <v>5.45034625E8</v>
      </c>
      <c r="B18" s="22" t="s">
        <v>23</v>
      </c>
      <c r="C18" s="23" t="s">
        <v>24</v>
      </c>
      <c r="D18" s="28" t="s">
        <v>18</v>
      </c>
      <c r="E18" s="17">
        <v>5.0</v>
      </c>
      <c r="F18" s="17">
        <v>5.0</v>
      </c>
      <c r="G18" s="29">
        <v>46477.0</v>
      </c>
      <c r="H18" s="30"/>
      <c r="I18" s="31"/>
    </row>
    <row r="19">
      <c r="A19" s="13">
        <v>5.45024051E8</v>
      </c>
      <c r="B19" s="14" t="s">
        <v>25</v>
      </c>
      <c r="C19" s="15" t="s">
        <v>17</v>
      </c>
      <c r="D19" s="16" t="s">
        <v>18</v>
      </c>
      <c r="E19" s="17">
        <v>4.0</v>
      </c>
      <c r="F19" s="17">
        <v>4.0</v>
      </c>
      <c r="G19" s="32">
        <v>46691.0</v>
      </c>
      <c r="H19" s="32"/>
      <c r="I19" s="27"/>
    </row>
    <row r="20">
      <c r="A20" s="21">
        <v>5.4502406E8</v>
      </c>
      <c r="B20" s="22" t="s">
        <v>26</v>
      </c>
      <c r="C20" s="23" t="s">
        <v>27</v>
      </c>
      <c r="D20" s="16" t="s">
        <v>18</v>
      </c>
      <c r="E20" s="17">
        <v>10.0</v>
      </c>
      <c r="F20" s="17">
        <v>10.0</v>
      </c>
      <c r="G20" s="29">
        <v>46418.0</v>
      </c>
      <c r="H20" s="29">
        <v>46691.0</v>
      </c>
      <c r="I20" s="29"/>
    </row>
    <row r="21">
      <c r="A21" s="13">
        <v>5.45024055E8</v>
      </c>
      <c r="B21" s="14" t="s">
        <v>26</v>
      </c>
      <c r="C21" s="15" t="s">
        <v>28</v>
      </c>
      <c r="D21" s="16" t="s">
        <v>18</v>
      </c>
      <c r="E21" s="17">
        <v>10.0</v>
      </c>
      <c r="F21" s="17">
        <v>10.0</v>
      </c>
      <c r="G21" s="29">
        <v>46387.0</v>
      </c>
      <c r="H21" s="29"/>
      <c r="I21" s="27"/>
    </row>
    <row r="22">
      <c r="A22" s="21">
        <v>5.4505473E8</v>
      </c>
      <c r="B22" s="21" t="s">
        <v>29</v>
      </c>
      <c r="C22" s="23" t="s">
        <v>30</v>
      </c>
      <c r="D22" s="28" t="s">
        <v>18</v>
      </c>
      <c r="E22" s="17">
        <v>4.0</v>
      </c>
      <c r="F22" s="17">
        <v>4.0</v>
      </c>
      <c r="G22" s="19">
        <v>46356.0</v>
      </c>
      <c r="H22" s="25"/>
      <c r="I22" s="26"/>
    </row>
    <row r="23">
      <c r="A23" s="13">
        <v>5.45054725E8</v>
      </c>
      <c r="B23" s="13" t="s">
        <v>29</v>
      </c>
      <c r="C23" s="15" t="s">
        <v>31</v>
      </c>
      <c r="D23" s="28" t="s">
        <v>18</v>
      </c>
      <c r="E23" s="17">
        <v>6.0</v>
      </c>
      <c r="F23" s="33">
        <v>6.0</v>
      </c>
      <c r="G23" s="32">
        <v>46507.0</v>
      </c>
      <c r="H23" s="19"/>
      <c r="I23" s="20"/>
    </row>
    <row r="24">
      <c r="A24" s="21">
        <v>5.45024089E8</v>
      </c>
      <c r="B24" s="22" t="s">
        <v>32</v>
      </c>
      <c r="C24" s="23" t="s">
        <v>27</v>
      </c>
      <c r="D24" s="28" t="s">
        <v>18</v>
      </c>
      <c r="E24" s="17">
        <v>5.0</v>
      </c>
      <c r="F24" s="33">
        <v>3.0</v>
      </c>
      <c r="G24" s="24">
        <v>46538.0</v>
      </c>
      <c r="H24" s="34">
        <v>47268.0</v>
      </c>
      <c r="I24" s="26"/>
    </row>
    <row r="25">
      <c r="A25" s="35"/>
      <c r="B25" s="35"/>
      <c r="C25" s="36"/>
      <c r="E25" s="37"/>
      <c r="F25" s="37"/>
      <c r="G25" s="37"/>
      <c r="H25" s="37"/>
      <c r="I25" s="37"/>
    </row>
    <row r="26" ht="22.5" customHeight="1">
      <c r="A26" s="38" t="s">
        <v>33</v>
      </c>
      <c r="B26" s="39"/>
      <c r="C26" s="40"/>
      <c r="D26" s="41" t="s">
        <v>34</v>
      </c>
      <c r="E26" s="42"/>
      <c r="F26" s="43"/>
      <c r="G26" s="41" t="s">
        <v>35</v>
      </c>
      <c r="H26" s="42"/>
      <c r="I26" s="43"/>
    </row>
    <row r="27">
      <c r="A27" s="44" t="s">
        <v>36</v>
      </c>
      <c r="B27" s="42"/>
      <c r="C27" s="43"/>
      <c r="D27" s="44" t="s">
        <v>37</v>
      </c>
      <c r="E27" s="42"/>
      <c r="F27" s="43"/>
      <c r="G27" s="44" t="s">
        <v>38</v>
      </c>
      <c r="H27" s="42"/>
      <c r="I27" s="43"/>
    </row>
    <row r="28">
      <c r="A28" s="45"/>
      <c r="C28" s="46"/>
      <c r="D28" s="45"/>
      <c r="F28" s="46"/>
      <c r="G28" s="45"/>
      <c r="I28" s="46"/>
    </row>
    <row r="29">
      <c r="A29" s="47"/>
      <c r="B29" s="48"/>
      <c r="C29" s="49"/>
      <c r="D29" s="47"/>
      <c r="E29" s="48"/>
      <c r="F29" s="49"/>
      <c r="G29" s="47"/>
      <c r="H29" s="48"/>
      <c r="I29" s="49"/>
    </row>
    <row r="30">
      <c r="A30" s="50"/>
      <c r="B30" s="50"/>
      <c r="C30" s="50"/>
      <c r="D30" s="50"/>
      <c r="E30" s="50"/>
      <c r="F30" s="50"/>
      <c r="G30" s="51"/>
      <c r="H30" s="51"/>
      <c r="I30" s="51"/>
    </row>
    <row r="31">
      <c r="A31" s="50"/>
      <c r="B31" s="50"/>
      <c r="C31" s="50"/>
      <c r="D31" s="52" t="s">
        <v>39</v>
      </c>
      <c r="E31" s="52"/>
      <c r="F31" s="50"/>
      <c r="G31" s="52" t="s">
        <v>40</v>
      </c>
    </row>
    <row r="32">
      <c r="A32" s="50"/>
      <c r="B32" s="50"/>
      <c r="C32" s="50"/>
      <c r="D32" s="52"/>
      <c r="E32" s="52"/>
      <c r="F32" s="50"/>
      <c r="G32" s="51"/>
      <c r="H32" s="51"/>
      <c r="I32" s="51"/>
    </row>
    <row r="33">
      <c r="A33" s="52" t="s">
        <v>41</v>
      </c>
      <c r="D33" s="52"/>
      <c r="E33" s="52"/>
      <c r="F33" s="50"/>
      <c r="G33" s="53" t="s">
        <v>42</v>
      </c>
    </row>
    <row r="34">
      <c r="A34" s="53" t="s">
        <v>43</v>
      </c>
      <c r="D34" s="50"/>
      <c r="E34" s="50"/>
      <c r="F34" s="50"/>
      <c r="G34" s="51"/>
      <c r="H34" s="51"/>
      <c r="I34" s="51"/>
    </row>
    <row r="35">
      <c r="A35" s="53"/>
      <c r="B35" s="53"/>
      <c r="C35" s="53"/>
      <c r="D35" s="50"/>
      <c r="E35" s="50"/>
      <c r="F35" s="50"/>
      <c r="G35" s="51"/>
      <c r="H35" s="51"/>
      <c r="I35" s="51"/>
    </row>
    <row r="36">
      <c r="A36" s="54"/>
      <c r="B36" s="54"/>
      <c r="C36" s="54"/>
      <c r="D36" s="55" t="s">
        <v>44</v>
      </c>
      <c r="I36" s="55"/>
    </row>
    <row r="37">
      <c r="A37" s="56"/>
      <c r="B37" s="56" t="s">
        <v>45</v>
      </c>
      <c r="C37" s="57" t="s">
        <v>46</v>
      </c>
      <c r="E37" s="54"/>
      <c r="F37" s="54"/>
      <c r="G37" s="54"/>
      <c r="H37" s="54"/>
      <c r="I37" s="54"/>
    </row>
  </sheetData>
  <mergeCells count="21">
    <mergeCell ref="F1:I1"/>
    <mergeCell ref="F2:I2"/>
    <mergeCell ref="F3:I3"/>
    <mergeCell ref="F4:I4"/>
    <mergeCell ref="C10:E10"/>
    <mergeCell ref="B11:G11"/>
    <mergeCell ref="C12:G12"/>
    <mergeCell ref="G27:I29"/>
    <mergeCell ref="G31:I31"/>
    <mergeCell ref="A33:C33"/>
    <mergeCell ref="G33:I33"/>
    <mergeCell ref="A34:C34"/>
    <mergeCell ref="D36:H36"/>
    <mergeCell ref="C37:D37"/>
    <mergeCell ref="D13:E13"/>
    <mergeCell ref="C25:D25"/>
    <mergeCell ref="A26:C26"/>
    <mergeCell ref="D26:F26"/>
    <mergeCell ref="G26:I26"/>
    <mergeCell ref="A27:C29"/>
    <mergeCell ref="D27:F29"/>
  </mergeCells>
  <conditionalFormatting sqref="G14:I24 G26:I35">
    <cfRule type="cellIs" dxfId="4" priority="1" operator="lessThan">
      <formula>today()+60</formula>
    </cfRule>
  </conditionalFormatting>
  <conditionalFormatting sqref="A25:B25 A36:B37">
    <cfRule type="notContainsBlanks" dxfId="5" priority="2">
      <formula>LEN(TRIM(A25))&gt;0</formula>
    </cfRule>
  </conditionalFormatting>
  <dataValidations>
    <dataValidation type="custom" allowBlank="1" showDropDown="1" sqref="G14:I17 G18 I18 G19:I24 G27 G30:I30 G31 G32:I32 G33 G34:I35">
      <formula1>OR(NOT(ISERROR(DATEVALUE(G14))), AND(ISNUMBER(G14), LEFT(CELL("format", G14))="D"))</formula1>
    </dataValidation>
  </dataValidations>
  <printOptions horizontalCentered="1"/>
  <pageMargins bottom="0.75" footer="0.0" header="0.0" left="0.25" right="0.25" top="0.75"/>
  <pageSetup paperSize="9" cellComments="atEnd" orientation="portrait" pageOrder="overThenDown"/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8.75"/>
    <col customWidth="1" min="3" max="3" width="11.88"/>
    <col customWidth="1" min="4" max="4" width="16.13"/>
    <col customWidth="1" min="5" max="5" width="9.63"/>
    <col customWidth="1" min="6" max="6" width="7.63"/>
    <col customWidth="1" min="7" max="9" width="9.0"/>
  </cols>
  <sheetData>
    <row r="1">
      <c r="E1" s="1" t="s">
        <v>0</v>
      </c>
      <c r="I1" s="1"/>
    </row>
    <row r="2">
      <c r="E2" s="1" t="s">
        <v>1</v>
      </c>
      <c r="I2" s="1"/>
    </row>
    <row r="3">
      <c r="E3" s="1" t="s">
        <v>2</v>
      </c>
      <c r="I3" s="1"/>
    </row>
    <row r="4">
      <c r="E4" s="1" t="s">
        <v>3</v>
      </c>
      <c r="I4" s="1"/>
    </row>
    <row r="9">
      <c r="C9" s="4" t="s">
        <v>47</v>
      </c>
    </row>
    <row r="10">
      <c r="B10" s="58" t="s">
        <v>5</v>
      </c>
    </row>
    <row r="11">
      <c r="B11" s="6" t="s">
        <v>48</v>
      </c>
    </row>
    <row r="12">
      <c r="C12" s="7">
        <f>today()+4</f>
        <v>46220</v>
      </c>
    </row>
    <row r="13">
      <c r="A13" s="8" t="s">
        <v>7</v>
      </c>
      <c r="B13" s="9" t="s">
        <v>8</v>
      </c>
      <c r="C13" s="10" t="s">
        <v>9</v>
      </c>
      <c r="D13" s="10" t="s">
        <v>10</v>
      </c>
      <c r="E13" s="10" t="s">
        <v>11</v>
      </c>
      <c r="F13" s="10" t="s">
        <v>12</v>
      </c>
      <c r="G13" s="11" t="s">
        <v>13</v>
      </c>
      <c r="H13" s="12" t="s">
        <v>14</v>
      </c>
      <c r="I13" s="12" t="s">
        <v>15</v>
      </c>
    </row>
    <row r="14">
      <c r="A14" s="13">
        <v>5.4506487E8</v>
      </c>
      <c r="B14" s="14" t="s">
        <v>16</v>
      </c>
      <c r="C14" s="15" t="s">
        <v>17</v>
      </c>
      <c r="D14" s="16" t="s">
        <v>18</v>
      </c>
      <c r="E14" s="17">
        <v>3.0</v>
      </c>
      <c r="F14" s="17">
        <v>3.0</v>
      </c>
      <c r="G14" s="59">
        <v>47087.0</v>
      </c>
      <c r="I14" s="27"/>
    </row>
    <row r="15">
      <c r="A15" s="21">
        <v>5.4503137E8</v>
      </c>
      <c r="B15" s="22" t="s">
        <v>16</v>
      </c>
      <c r="C15" s="23" t="s">
        <v>19</v>
      </c>
      <c r="D15" s="23" t="s">
        <v>49</v>
      </c>
      <c r="E15" s="17">
        <v>5.0</v>
      </c>
      <c r="F15" s="17">
        <v>5.0</v>
      </c>
      <c r="G15" s="24">
        <v>46507.0</v>
      </c>
      <c r="H15" s="24">
        <v>46783.0</v>
      </c>
      <c r="I15" s="26"/>
    </row>
    <row r="16">
      <c r="A16" s="13">
        <v>5.45024065E8</v>
      </c>
      <c r="B16" s="14" t="s">
        <v>21</v>
      </c>
      <c r="C16" s="15" t="s">
        <v>22</v>
      </c>
      <c r="D16" s="16" t="s">
        <v>18</v>
      </c>
      <c r="E16" s="17">
        <v>70.0</v>
      </c>
      <c r="F16" s="17">
        <v>70.0</v>
      </c>
      <c r="G16" s="24">
        <v>46752.0</v>
      </c>
      <c r="H16" s="19">
        <v>46783.0</v>
      </c>
      <c r="I16" s="27"/>
    </row>
    <row r="17">
      <c r="A17" s="13">
        <v>5.45024064E8</v>
      </c>
      <c r="B17" s="14" t="s">
        <v>21</v>
      </c>
      <c r="C17" s="15" t="s">
        <v>50</v>
      </c>
      <c r="D17" s="16" t="s">
        <v>18</v>
      </c>
      <c r="E17" s="17">
        <v>30.0</v>
      </c>
      <c r="F17" s="17">
        <v>30.0</v>
      </c>
      <c r="G17" s="60">
        <v>46752.0</v>
      </c>
      <c r="H17" s="19"/>
      <c r="I17" s="27"/>
    </row>
    <row r="18">
      <c r="A18" s="21">
        <v>5.45034625E8</v>
      </c>
      <c r="B18" s="22" t="s">
        <v>23</v>
      </c>
      <c r="C18" s="23" t="s">
        <v>24</v>
      </c>
      <c r="D18" s="28" t="s">
        <v>18</v>
      </c>
      <c r="E18" s="17">
        <v>40.0</v>
      </c>
      <c r="F18" s="17">
        <v>40.0</v>
      </c>
      <c r="G18" s="60">
        <v>46477.0</v>
      </c>
      <c r="H18" s="60"/>
      <c r="I18" s="31"/>
    </row>
    <row r="19">
      <c r="A19" s="21">
        <v>5.45024089E8</v>
      </c>
      <c r="B19" s="22" t="s">
        <v>32</v>
      </c>
      <c r="C19" s="23" t="s">
        <v>27</v>
      </c>
      <c r="D19" s="28" t="s">
        <v>18</v>
      </c>
      <c r="E19" s="17">
        <v>5.0</v>
      </c>
      <c r="F19" s="17">
        <v>5.0</v>
      </c>
      <c r="G19" s="60">
        <v>47269.0</v>
      </c>
      <c r="H19" s="61"/>
      <c r="I19" s="27"/>
    </row>
    <row r="20">
      <c r="A20" s="13">
        <v>5.45024051E8</v>
      </c>
      <c r="B20" s="14" t="s">
        <v>25</v>
      </c>
      <c r="C20" s="15" t="s">
        <v>17</v>
      </c>
      <c r="D20" s="16" t="s">
        <v>18</v>
      </c>
      <c r="E20" s="17">
        <v>5.0</v>
      </c>
      <c r="F20" s="17">
        <v>5.0</v>
      </c>
      <c r="G20" s="24">
        <v>46446.0</v>
      </c>
      <c r="H20" s="61">
        <v>46691.0</v>
      </c>
      <c r="I20" s="27"/>
    </row>
    <row r="21">
      <c r="A21" s="21">
        <v>5.4502406E8</v>
      </c>
      <c r="B21" s="22" t="s">
        <v>26</v>
      </c>
      <c r="C21" s="23" t="s">
        <v>27</v>
      </c>
      <c r="D21" s="16" t="s">
        <v>18</v>
      </c>
      <c r="E21" s="17">
        <v>5.0</v>
      </c>
      <c r="F21" s="17">
        <v>5.0</v>
      </c>
      <c r="G21" s="34">
        <v>46418.0</v>
      </c>
      <c r="H21" s="29"/>
      <c r="I21" s="29"/>
    </row>
    <row r="22">
      <c r="A22" s="13">
        <v>5.45024055E8</v>
      </c>
      <c r="B22" s="14" t="s">
        <v>26</v>
      </c>
      <c r="C22" s="15" t="s">
        <v>28</v>
      </c>
      <c r="D22" s="16" t="s">
        <v>18</v>
      </c>
      <c r="E22" s="17">
        <v>5.0</v>
      </c>
      <c r="F22" s="17">
        <v>5.0</v>
      </c>
      <c r="G22" s="62">
        <v>46265.0</v>
      </c>
      <c r="H22" s="19">
        <v>46387.0</v>
      </c>
      <c r="I22" s="27"/>
    </row>
    <row r="23">
      <c r="A23" s="21">
        <v>5.4505473E8</v>
      </c>
      <c r="B23" s="22" t="s">
        <v>29</v>
      </c>
      <c r="C23" s="23" t="s">
        <v>30</v>
      </c>
      <c r="D23" s="28" t="s">
        <v>18</v>
      </c>
      <c r="E23" s="17">
        <v>5.0</v>
      </c>
      <c r="F23" s="17">
        <v>5.0</v>
      </c>
      <c r="G23" s="19">
        <v>46356.0</v>
      </c>
      <c r="H23" s="25"/>
      <c r="I23" s="26"/>
    </row>
    <row r="24">
      <c r="A24" s="13">
        <v>5.45054725E8</v>
      </c>
      <c r="B24" s="14" t="s">
        <v>29</v>
      </c>
      <c r="C24" s="15" t="s">
        <v>31</v>
      </c>
      <c r="D24" s="28" t="s">
        <v>18</v>
      </c>
      <c r="E24" s="17">
        <v>5.0</v>
      </c>
      <c r="F24" s="17">
        <v>5.0</v>
      </c>
      <c r="G24" s="32">
        <v>46507.0</v>
      </c>
      <c r="H24" s="19"/>
      <c r="I24" s="20"/>
    </row>
    <row r="25">
      <c r="A25" s="35"/>
      <c r="B25" s="35"/>
      <c r="C25" s="36"/>
      <c r="E25" s="37"/>
      <c r="F25" s="37"/>
      <c r="G25" s="37"/>
      <c r="H25" s="37"/>
      <c r="I25" s="37"/>
    </row>
    <row r="26" ht="22.5" customHeight="1">
      <c r="A26" s="63" t="s">
        <v>33</v>
      </c>
      <c r="B26" s="64"/>
      <c r="C26" s="65"/>
      <c r="D26" s="66" t="s">
        <v>34</v>
      </c>
      <c r="E26" s="67"/>
      <c r="F26" s="68"/>
      <c r="G26" s="69" t="s">
        <v>51</v>
      </c>
      <c r="H26" s="67"/>
      <c r="I26" s="68"/>
    </row>
    <row r="27">
      <c r="A27" s="52"/>
      <c r="D27" s="70" t="s">
        <v>37</v>
      </c>
      <c r="E27" s="71"/>
      <c r="F27" s="72"/>
      <c r="G27" s="73" t="s">
        <v>52</v>
      </c>
      <c r="H27" s="71"/>
      <c r="I27" s="72"/>
    </row>
    <row r="28">
      <c r="A28" s="74" t="s">
        <v>36</v>
      </c>
      <c r="D28" s="45"/>
      <c r="F28" s="75"/>
      <c r="I28" s="75"/>
    </row>
    <row r="29">
      <c r="A29" s="76"/>
      <c r="B29" s="48"/>
      <c r="C29" s="48"/>
      <c r="D29" s="77"/>
      <c r="E29" s="78"/>
      <c r="F29" s="79"/>
      <c r="G29" s="78"/>
      <c r="H29" s="78"/>
      <c r="I29" s="79"/>
    </row>
    <row r="30">
      <c r="A30" s="50"/>
      <c r="B30" s="50"/>
      <c r="C30" s="50"/>
      <c r="D30" s="50"/>
      <c r="E30" s="50"/>
      <c r="F30" s="50"/>
      <c r="G30" s="51"/>
      <c r="H30" s="51"/>
      <c r="I30" s="51"/>
    </row>
    <row r="31">
      <c r="A31" s="50"/>
      <c r="B31" s="50"/>
      <c r="C31" s="50"/>
      <c r="D31" s="50"/>
      <c r="E31" s="50"/>
      <c r="F31" s="50"/>
      <c r="G31" s="52" t="s">
        <v>40</v>
      </c>
    </row>
    <row r="32">
      <c r="A32" s="50"/>
      <c r="B32" s="50"/>
      <c r="C32" s="50"/>
      <c r="D32" s="50"/>
      <c r="E32" s="50"/>
      <c r="F32" s="50"/>
      <c r="G32" s="51"/>
      <c r="H32" s="51"/>
      <c r="I32" s="51"/>
    </row>
    <row r="33">
      <c r="A33" s="52" t="s">
        <v>53</v>
      </c>
      <c r="D33" s="50"/>
      <c r="E33" s="50"/>
      <c r="F33" s="50"/>
      <c r="G33" s="53" t="s">
        <v>42</v>
      </c>
    </row>
    <row r="34">
      <c r="A34" s="53" t="s">
        <v>43</v>
      </c>
      <c r="D34" s="50"/>
      <c r="E34" s="50"/>
      <c r="F34" s="50"/>
      <c r="G34" s="51"/>
      <c r="H34" s="51"/>
      <c r="I34" s="51"/>
    </row>
    <row r="35">
      <c r="A35" s="50"/>
      <c r="B35" s="50"/>
      <c r="C35" s="50"/>
      <c r="D35" s="50"/>
      <c r="E35" s="50"/>
      <c r="F35" s="50"/>
      <c r="G35" s="51"/>
      <c r="H35" s="51"/>
      <c r="I35" s="51"/>
    </row>
    <row r="36">
      <c r="A36" s="54"/>
      <c r="B36" s="54"/>
      <c r="C36" s="54"/>
      <c r="D36" s="55" t="s">
        <v>44</v>
      </c>
      <c r="I36" s="55"/>
    </row>
    <row r="37">
      <c r="A37" s="56"/>
      <c r="B37" s="56" t="s">
        <v>45</v>
      </c>
      <c r="C37" s="57" t="s">
        <v>46</v>
      </c>
      <c r="E37" s="54"/>
      <c r="F37" s="54"/>
      <c r="G37" s="54"/>
      <c r="H37" s="54"/>
      <c r="I37" s="54"/>
    </row>
  </sheetData>
  <mergeCells count="23">
    <mergeCell ref="E1:H1"/>
    <mergeCell ref="E2:H2"/>
    <mergeCell ref="E3:H3"/>
    <mergeCell ref="E4:H4"/>
    <mergeCell ref="C9:D9"/>
    <mergeCell ref="B10:G10"/>
    <mergeCell ref="B11:G11"/>
    <mergeCell ref="A27:C27"/>
    <mergeCell ref="A28:C28"/>
    <mergeCell ref="A33:C33"/>
    <mergeCell ref="A34:C34"/>
    <mergeCell ref="G27:I29"/>
    <mergeCell ref="G31:I31"/>
    <mergeCell ref="G33:I33"/>
    <mergeCell ref="D36:H36"/>
    <mergeCell ref="C37:D37"/>
    <mergeCell ref="C12:D12"/>
    <mergeCell ref="C25:D25"/>
    <mergeCell ref="A26:C26"/>
    <mergeCell ref="D26:F26"/>
    <mergeCell ref="G26:I26"/>
    <mergeCell ref="D27:F29"/>
    <mergeCell ref="A29:C29"/>
  </mergeCells>
  <conditionalFormatting sqref="G13:I24 G30:I35">
    <cfRule type="cellIs" dxfId="4" priority="1" operator="lessThan">
      <formula>today()+60</formula>
    </cfRule>
  </conditionalFormatting>
  <conditionalFormatting sqref="A25:B25 A36:B37">
    <cfRule type="notContainsBlanks" dxfId="5" priority="2">
      <formula>LEN(TRIM(A25))&gt;0</formula>
    </cfRule>
  </conditionalFormatting>
  <dataValidations>
    <dataValidation type="custom" allowBlank="1" showDropDown="1" sqref="G13:I13 G14 I14 G15:I24 G27 G30:I30 G31 G32:I32 G33 G34:I35">
      <formula1>OR(NOT(ISERROR(DATEVALUE(G13))), AND(ISNUMBER(G13), LEFT(CELL("format", G13))="D"))</formula1>
    </dataValidation>
  </dataValidations>
  <printOptions horizontalCentered="1"/>
  <pageMargins bottom="0.75" footer="0.0" header="0.0" left="0.25" right="0.25" top="0.75"/>
  <pageSetup paperSize="9" cellComments="atEnd" orientation="portrait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2.75"/>
    <col customWidth="1" min="3" max="3" width="11.88"/>
    <col customWidth="1" min="4" max="4" width="12.25"/>
    <col customWidth="1" min="5" max="5" width="8.0"/>
    <col customWidth="1" min="6" max="6" width="10.0"/>
    <col customWidth="1" min="7" max="7" width="11.63"/>
    <col customWidth="1" min="8" max="8" width="10.0"/>
    <col customWidth="1" min="9" max="9" width="10.38"/>
  </cols>
  <sheetData>
    <row r="1">
      <c r="A1" s="80" t="s">
        <v>54</v>
      </c>
      <c r="E1" s="1" t="s">
        <v>0</v>
      </c>
    </row>
    <row r="2">
      <c r="E2" s="1" t="s">
        <v>1</v>
      </c>
    </row>
    <row r="3">
      <c r="E3" s="1" t="s">
        <v>2</v>
      </c>
    </row>
    <row r="4">
      <c r="E4" s="1" t="s">
        <v>3</v>
      </c>
    </row>
    <row r="10">
      <c r="C10" s="81" t="s">
        <v>55</v>
      </c>
    </row>
    <row r="12">
      <c r="B12" s="5" t="s">
        <v>5</v>
      </c>
    </row>
    <row r="13">
      <c r="B13" s="6" t="s">
        <v>56</v>
      </c>
    </row>
    <row r="14">
      <c r="A14" s="82"/>
      <c r="B14" s="82"/>
      <c r="C14" s="83">
        <f>today()+4</f>
        <v>46220</v>
      </c>
      <c r="E14" s="82"/>
      <c r="F14" s="82"/>
      <c r="G14" s="84"/>
      <c r="H14" s="85"/>
      <c r="I14" s="85"/>
    </row>
    <row r="15">
      <c r="A15" s="8" t="s">
        <v>7</v>
      </c>
      <c r="B15" s="9" t="s">
        <v>8</v>
      </c>
      <c r="C15" s="10" t="s">
        <v>9</v>
      </c>
      <c r="D15" s="10" t="s">
        <v>10</v>
      </c>
      <c r="E15" s="10" t="s">
        <v>11</v>
      </c>
      <c r="F15" s="10" t="s">
        <v>12</v>
      </c>
      <c r="G15" s="11" t="s">
        <v>13</v>
      </c>
      <c r="H15" s="12" t="s">
        <v>14</v>
      </c>
      <c r="I15" s="12" t="s">
        <v>15</v>
      </c>
    </row>
    <row r="16">
      <c r="A16" s="21">
        <v>5.4502406E8</v>
      </c>
      <c r="B16" s="14" t="s">
        <v>26</v>
      </c>
      <c r="C16" s="15" t="s">
        <v>27</v>
      </c>
      <c r="D16" s="15" t="s">
        <v>57</v>
      </c>
      <c r="E16" s="17">
        <v>15.0</v>
      </c>
      <c r="F16" s="17">
        <v>15.0</v>
      </c>
      <c r="G16" s="24">
        <v>46418.0</v>
      </c>
      <c r="H16" s="24"/>
      <c r="I16" s="24"/>
    </row>
    <row r="17">
      <c r="A17" s="13">
        <v>5.45024055E8</v>
      </c>
      <c r="B17" s="14" t="s">
        <v>26</v>
      </c>
      <c r="C17" s="15" t="s">
        <v>28</v>
      </c>
      <c r="D17" s="15" t="s">
        <v>57</v>
      </c>
      <c r="E17" s="17">
        <v>15.0</v>
      </c>
      <c r="F17" s="17">
        <v>15.0</v>
      </c>
      <c r="G17" s="86">
        <v>46387.0</v>
      </c>
      <c r="H17" s="87"/>
      <c r="I17" s="87"/>
    </row>
    <row r="18">
      <c r="A18" s="21">
        <v>5.45034625E8</v>
      </c>
      <c r="B18" s="14" t="s">
        <v>23</v>
      </c>
      <c r="C18" s="15" t="s">
        <v>24</v>
      </c>
      <c r="D18" s="15" t="s">
        <v>18</v>
      </c>
      <c r="E18" s="17">
        <v>10.0</v>
      </c>
      <c r="F18" s="17">
        <v>10.0</v>
      </c>
      <c r="G18" s="60">
        <v>46477.0</v>
      </c>
      <c r="H18" s="60"/>
      <c r="I18" s="59"/>
    </row>
    <row r="19">
      <c r="A19" s="13">
        <v>5.45024051E8</v>
      </c>
      <c r="B19" s="14" t="s">
        <v>25</v>
      </c>
      <c r="C19" s="15" t="s">
        <v>17</v>
      </c>
      <c r="D19" s="16" t="s">
        <v>18</v>
      </c>
      <c r="E19" s="17">
        <v>2.0</v>
      </c>
      <c r="F19" s="17">
        <v>2.0</v>
      </c>
      <c r="G19" s="86">
        <v>46691.0</v>
      </c>
      <c r="H19" s="86"/>
      <c r="I19" s="86"/>
    </row>
    <row r="20">
      <c r="A20" s="13">
        <v>5.45024065E8</v>
      </c>
      <c r="B20" s="14" t="s">
        <v>21</v>
      </c>
      <c r="C20" s="15" t="s">
        <v>22</v>
      </c>
      <c r="D20" s="16" t="s">
        <v>18</v>
      </c>
      <c r="E20" s="17">
        <v>30.0</v>
      </c>
      <c r="F20" s="17">
        <v>30.0</v>
      </c>
      <c r="G20" s="86">
        <v>46752.0</v>
      </c>
      <c r="H20" s="86"/>
      <c r="I20" s="88"/>
    </row>
    <row r="21">
      <c r="A21" s="35"/>
      <c r="B21" s="35"/>
      <c r="C21" s="36"/>
      <c r="E21" s="37"/>
      <c r="F21" s="37"/>
      <c r="G21" s="37"/>
      <c r="H21" s="37"/>
      <c r="I21" s="37"/>
    </row>
    <row r="22" ht="22.5" customHeight="1">
      <c r="A22" s="66" t="s">
        <v>33</v>
      </c>
      <c r="B22" s="67"/>
      <c r="C22" s="68"/>
      <c r="D22" s="66" t="s">
        <v>34</v>
      </c>
      <c r="E22" s="67"/>
      <c r="F22" s="68"/>
      <c r="G22" s="69" t="s">
        <v>58</v>
      </c>
      <c r="H22" s="67"/>
      <c r="I22" s="68"/>
    </row>
    <row r="23">
      <c r="A23" s="52"/>
      <c r="C23" s="75"/>
      <c r="D23" s="89" t="s">
        <v>37</v>
      </c>
      <c r="E23" s="71"/>
      <c r="F23" s="72"/>
      <c r="G23" s="73" t="s">
        <v>59</v>
      </c>
      <c r="H23" s="71"/>
      <c r="I23" s="72"/>
    </row>
    <row r="24">
      <c r="A24" s="74" t="s">
        <v>36</v>
      </c>
      <c r="D24" s="90"/>
      <c r="F24" s="75"/>
      <c r="I24" s="75"/>
    </row>
    <row r="25">
      <c r="A25" s="91"/>
      <c r="B25" s="78"/>
      <c r="C25" s="79"/>
      <c r="D25" s="92"/>
      <c r="E25" s="78"/>
      <c r="F25" s="79"/>
      <c r="G25" s="78"/>
      <c r="H25" s="78"/>
      <c r="I25" s="79"/>
    </row>
    <row r="26">
      <c r="A26" s="50"/>
      <c r="B26" s="50"/>
      <c r="C26" s="50"/>
      <c r="D26" s="50"/>
      <c r="E26" s="50"/>
      <c r="F26" s="50"/>
      <c r="G26" s="51"/>
      <c r="H26" s="51"/>
      <c r="I26" s="51"/>
    </row>
    <row r="27">
      <c r="A27" s="93"/>
      <c r="B27" s="93"/>
      <c r="C27" s="94"/>
      <c r="D27" s="50"/>
      <c r="E27" s="50"/>
      <c r="F27" s="50"/>
      <c r="G27" s="52" t="s">
        <v>40</v>
      </c>
    </row>
    <row r="28">
      <c r="A28" s="93"/>
      <c r="B28" s="93"/>
      <c r="C28" s="93"/>
      <c r="D28" s="50"/>
      <c r="E28" s="50"/>
      <c r="F28" s="50"/>
      <c r="G28" s="51"/>
      <c r="H28" s="51"/>
      <c r="I28" s="51"/>
    </row>
    <row r="29">
      <c r="A29" s="52" t="s">
        <v>53</v>
      </c>
      <c r="D29" s="50"/>
      <c r="E29" s="50"/>
      <c r="F29" s="50"/>
      <c r="G29" s="53" t="s">
        <v>42</v>
      </c>
    </row>
    <row r="30">
      <c r="A30" s="53" t="s">
        <v>43</v>
      </c>
      <c r="D30" s="50"/>
      <c r="E30" s="50"/>
      <c r="F30" s="50"/>
      <c r="G30" s="51"/>
      <c r="H30" s="51"/>
      <c r="I30" s="51"/>
    </row>
    <row r="31">
      <c r="A31" s="95"/>
      <c r="B31" s="95"/>
      <c r="C31" s="95"/>
      <c r="D31" s="96"/>
      <c r="E31" s="96"/>
      <c r="F31" s="96"/>
      <c r="G31" s="97"/>
      <c r="H31" s="97"/>
      <c r="I31" s="97"/>
    </row>
    <row r="32">
      <c r="A32" s="54"/>
      <c r="B32" s="54"/>
      <c r="C32" s="54"/>
      <c r="D32" s="55" t="s">
        <v>44</v>
      </c>
    </row>
    <row r="33">
      <c r="A33" s="56"/>
      <c r="B33" s="56" t="s">
        <v>45</v>
      </c>
      <c r="C33" s="57" t="s">
        <v>46</v>
      </c>
      <c r="E33" s="54"/>
      <c r="F33" s="54"/>
      <c r="G33" s="54"/>
      <c r="H33" s="54"/>
      <c r="I33" s="54"/>
    </row>
  </sheetData>
  <mergeCells count="23">
    <mergeCell ref="E1:I1"/>
    <mergeCell ref="E2:I2"/>
    <mergeCell ref="E3:I3"/>
    <mergeCell ref="E4:I4"/>
    <mergeCell ref="C10:D10"/>
    <mergeCell ref="B12:G12"/>
    <mergeCell ref="B13:F13"/>
    <mergeCell ref="A23:C23"/>
    <mergeCell ref="A24:C24"/>
    <mergeCell ref="A29:C29"/>
    <mergeCell ref="A30:C30"/>
    <mergeCell ref="G23:I25"/>
    <mergeCell ref="G27:I27"/>
    <mergeCell ref="G29:I29"/>
    <mergeCell ref="D32:I32"/>
    <mergeCell ref="C33:D33"/>
    <mergeCell ref="C14:D14"/>
    <mergeCell ref="C21:D21"/>
    <mergeCell ref="A22:C22"/>
    <mergeCell ref="D22:F22"/>
    <mergeCell ref="G22:I22"/>
    <mergeCell ref="D23:F25"/>
    <mergeCell ref="A25:C25"/>
  </mergeCells>
  <conditionalFormatting sqref="G14:I20 G22:I31">
    <cfRule type="cellIs" dxfId="4" priority="1" operator="lessThan">
      <formula>today()+60</formula>
    </cfRule>
  </conditionalFormatting>
  <conditionalFormatting sqref="A21:B21 A32:B33">
    <cfRule type="notContainsBlanks" dxfId="5" priority="2">
      <formula>LEN(TRIM(A21))&gt;0</formula>
    </cfRule>
  </conditionalFormatting>
  <dataValidations>
    <dataValidation type="custom" allowBlank="1" showDropDown="1" sqref="G14:I19 G20:H20 G23 G26:I26 G27 G28:I28 G29 G30:I31">
      <formula1>OR(NOT(ISERROR(DATEVALUE(G14))), AND(ISNUMBER(G14), LEFT(CELL("format", G14))="D"))</formula1>
    </dataValidation>
  </dataValidations>
  <printOptions horizontalCentered="1"/>
  <pageMargins bottom="0.75" footer="0.0" header="0.0" left="0.25" right="0.25" top="0.75"/>
  <pageSetup paperSize="9" cellComments="atEnd" orientation="portrait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2.0"/>
    <col customWidth="1" min="3" max="3" width="11.88"/>
    <col customWidth="1" min="4" max="4" width="16.13"/>
    <col customWidth="1" min="5" max="5" width="8.0"/>
    <col customWidth="1" min="6" max="6" width="7.63"/>
    <col customWidth="1" min="7" max="9" width="9.0"/>
  </cols>
  <sheetData>
    <row r="1">
      <c r="E1" s="1" t="s">
        <v>0</v>
      </c>
      <c r="I1" s="1"/>
    </row>
    <row r="2">
      <c r="E2" s="1" t="s">
        <v>1</v>
      </c>
      <c r="I2" s="1"/>
    </row>
    <row r="3">
      <c r="E3" s="1" t="s">
        <v>2</v>
      </c>
      <c r="I3" s="1"/>
    </row>
    <row r="4">
      <c r="E4" s="1" t="s">
        <v>3</v>
      </c>
      <c r="I4" s="1"/>
    </row>
    <row r="9">
      <c r="B9" s="5" t="s">
        <v>60</v>
      </c>
    </row>
    <row r="10">
      <c r="B10" s="58" t="s">
        <v>5</v>
      </c>
    </row>
    <row r="11">
      <c r="B11" s="6" t="s">
        <v>61</v>
      </c>
    </row>
    <row r="12">
      <c r="B12" s="7">
        <f>today()+4</f>
        <v>46220</v>
      </c>
    </row>
    <row r="13">
      <c r="A13" s="8" t="s">
        <v>7</v>
      </c>
      <c r="B13" s="9" t="s">
        <v>8</v>
      </c>
      <c r="C13" s="10" t="s">
        <v>9</v>
      </c>
      <c r="D13" s="10" t="s">
        <v>10</v>
      </c>
      <c r="E13" s="10" t="s">
        <v>11</v>
      </c>
      <c r="F13" s="10" t="s">
        <v>12</v>
      </c>
      <c r="G13" s="11" t="s">
        <v>13</v>
      </c>
      <c r="H13" s="12" t="s">
        <v>14</v>
      </c>
      <c r="I13" s="12" t="s">
        <v>15</v>
      </c>
    </row>
    <row r="14">
      <c r="A14" s="13">
        <v>5.4506487E8</v>
      </c>
      <c r="B14" s="14" t="s">
        <v>16</v>
      </c>
      <c r="C14" s="15" t="s">
        <v>17</v>
      </c>
      <c r="D14" s="16" t="s">
        <v>18</v>
      </c>
      <c r="E14" s="17">
        <v>3.0</v>
      </c>
      <c r="F14" s="17">
        <v>3.0</v>
      </c>
      <c r="G14" s="59">
        <v>47087.0</v>
      </c>
      <c r="H14" s="18"/>
      <c r="I14" s="27"/>
    </row>
    <row r="15">
      <c r="A15" s="21">
        <v>5.4503137E8</v>
      </c>
      <c r="B15" s="22" t="s">
        <v>16</v>
      </c>
      <c r="C15" s="23" t="s">
        <v>19</v>
      </c>
      <c r="D15" s="23" t="s">
        <v>49</v>
      </c>
      <c r="E15" s="17">
        <v>5.0</v>
      </c>
      <c r="F15" s="17">
        <v>5.0</v>
      </c>
      <c r="G15" s="60">
        <v>46783.0</v>
      </c>
      <c r="H15" s="98">
        <v>47149.0</v>
      </c>
      <c r="I15" s="26"/>
    </row>
    <row r="16">
      <c r="A16" s="13">
        <v>5.45024051E8</v>
      </c>
      <c r="B16" s="14" t="s">
        <v>25</v>
      </c>
      <c r="C16" s="15" t="s">
        <v>17</v>
      </c>
      <c r="D16" s="16" t="s">
        <v>18</v>
      </c>
      <c r="E16" s="17">
        <v>4.0</v>
      </c>
      <c r="F16" s="17">
        <v>4.0</v>
      </c>
      <c r="G16" s="18">
        <v>46446.0</v>
      </c>
      <c r="H16" s="32">
        <v>46691.0</v>
      </c>
      <c r="I16" s="27"/>
    </row>
    <row r="17">
      <c r="A17" s="21">
        <v>5.4502406E8</v>
      </c>
      <c r="B17" s="22" t="s">
        <v>26</v>
      </c>
      <c r="C17" s="23" t="s">
        <v>27</v>
      </c>
      <c r="D17" s="16" t="s">
        <v>18</v>
      </c>
      <c r="E17" s="17">
        <v>3.0</v>
      </c>
      <c r="F17" s="17">
        <v>3.0</v>
      </c>
      <c r="G17" s="18">
        <v>46691.0</v>
      </c>
      <c r="H17" s="29"/>
      <c r="I17" s="29"/>
    </row>
    <row r="18">
      <c r="A18" s="13">
        <v>5.45024055E8</v>
      </c>
      <c r="B18" s="14" t="s">
        <v>26</v>
      </c>
      <c r="C18" s="15" t="s">
        <v>28</v>
      </c>
      <c r="D18" s="16" t="s">
        <v>18</v>
      </c>
      <c r="E18" s="17">
        <v>3.0</v>
      </c>
      <c r="F18" s="17">
        <v>3.0</v>
      </c>
      <c r="G18" s="19">
        <v>46265.0</v>
      </c>
      <c r="H18" s="29">
        <v>46507.0</v>
      </c>
      <c r="I18" s="27"/>
    </row>
    <row r="19">
      <c r="A19" s="21">
        <v>5.45034625E8</v>
      </c>
      <c r="B19" s="22" t="s">
        <v>23</v>
      </c>
      <c r="C19" s="23" t="s">
        <v>24</v>
      </c>
      <c r="D19" s="28" t="s">
        <v>18</v>
      </c>
      <c r="E19" s="17">
        <v>3.0</v>
      </c>
      <c r="F19" s="17">
        <v>3.0</v>
      </c>
      <c r="G19" s="60">
        <v>46326.0</v>
      </c>
      <c r="H19" s="60">
        <v>46477.0</v>
      </c>
      <c r="I19" s="99"/>
    </row>
    <row r="20">
      <c r="A20" s="35"/>
      <c r="B20" s="35"/>
      <c r="C20" s="36"/>
      <c r="E20" s="37"/>
      <c r="F20" s="37"/>
      <c r="G20" s="37"/>
      <c r="H20" s="37"/>
      <c r="I20" s="37"/>
    </row>
    <row r="21" ht="22.5" customHeight="1">
      <c r="A21" s="66" t="s">
        <v>33</v>
      </c>
      <c r="B21" s="67"/>
      <c r="C21" s="68"/>
      <c r="D21" s="66" t="s">
        <v>34</v>
      </c>
      <c r="E21" s="67"/>
      <c r="F21" s="68"/>
      <c r="G21" s="69" t="s">
        <v>62</v>
      </c>
      <c r="H21" s="67"/>
      <c r="I21" s="68"/>
    </row>
    <row r="22">
      <c r="A22" s="73"/>
      <c r="B22" s="71"/>
      <c r="C22" s="72"/>
      <c r="D22" s="89" t="s">
        <v>37</v>
      </c>
      <c r="E22" s="71"/>
      <c r="F22" s="72"/>
      <c r="G22" s="73" t="s">
        <v>63</v>
      </c>
      <c r="H22" s="71"/>
      <c r="I22" s="72"/>
    </row>
    <row r="23">
      <c r="A23" s="74" t="s">
        <v>36</v>
      </c>
      <c r="C23" s="75"/>
      <c r="D23" s="90"/>
      <c r="F23" s="75"/>
      <c r="I23" s="75"/>
    </row>
    <row r="24">
      <c r="A24" s="91"/>
      <c r="B24" s="78"/>
      <c r="C24" s="79"/>
      <c r="D24" s="92"/>
      <c r="E24" s="78"/>
      <c r="F24" s="79"/>
      <c r="G24" s="78"/>
      <c r="H24" s="78"/>
      <c r="I24" s="79"/>
    </row>
    <row r="25">
      <c r="A25" s="50"/>
      <c r="B25" s="50"/>
      <c r="C25" s="50"/>
      <c r="D25" s="50"/>
      <c r="E25" s="50"/>
      <c r="F25" s="50"/>
      <c r="G25" s="51"/>
      <c r="H25" s="51"/>
      <c r="I25" s="51"/>
    </row>
    <row r="26">
      <c r="A26" s="50"/>
      <c r="B26" s="50"/>
      <c r="C26" s="50"/>
      <c r="D26" s="50"/>
      <c r="E26" s="50"/>
      <c r="F26" s="50"/>
      <c r="G26" s="52" t="s">
        <v>40</v>
      </c>
    </row>
    <row r="27">
      <c r="A27" s="50"/>
      <c r="B27" s="50"/>
      <c r="C27" s="50"/>
      <c r="D27" s="50"/>
      <c r="E27" s="50"/>
      <c r="F27" s="50"/>
      <c r="G27" s="51"/>
      <c r="H27" s="51"/>
      <c r="I27" s="51"/>
    </row>
    <row r="28">
      <c r="A28" s="52" t="s">
        <v>53</v>
      </c>
      <c r="D28" s="50"/>
      <c r="E28" s="50"/>
      <c r="F28" s="50"/>
      <c r="G28" s="53" t="s">
        <v>42</v>
      </c>
    </row>
    <row r="29">
      <c r="A29" s="53" t="s">
        <v>43</v>
      </c>
      <c r="D29" s="50"/>
      <c r="E29" s="50"/>
      <c r="F29" s="50"/>
      <c r="G29" s="51"/>
      <c r="H29" s="51"/>
      <c r="I29" s="51"/>
    </row>
    <row r="30">
      <c r="A30" s="50"/>
      <c r="B30" s="50"/>
      <c r="C30" s="50"/>
      <c r="D30" s="50"/>
      <c r="E30" s="50"/>
      <c r="F30" s="50"/>
      <c r="G30" s="51"/>
      <c r="H30" s="51"/>
      <c r="I30" s="51"/>
    </row>
    <row r="31">
      <c r="A31" s="54"/>
      <c r="B31" s="54"/>
      <c r="C31" s="54"/>
      <c r="D31" s="55" t="s">
        <v>44</v>
      </c>
      <c r="I31" s="55"/>
    </row>
    <row r="32">
      <c r="A32" s="56"/>
      <c r="B32" s="56" t="s">
        <v>45</v>
      </c>
      <c r="C32" s="57" t="s">
        <v>46</v>
      </c>
      <c r="E32" s="54"/>
      <c r="F32" s="54"/>
      <c r="G32" s="54"/>
      <c r="H32" s="54"/>
      <c r="I32" s="54"/>
    </row>
  </sheetData>
  <mergeCells count="23">
    <mergeCell ref="E1:H1"/>
    <mergeCell ref="E2:H2"/>
    <mergeCell ref="E3:H3"/>
    <mergeCell ref="E4:H4"/>
    <mergeCell ref="B9:D9"/>
    <mergeCell ref="B10:G10"/>
    <mergeCell ref="B11:F11"/>
    <mergeCell ref="A22:C22"/>
    <mergeCell ref="A23:C23"/>
    <mergeCell ref="A28:C28"/>
    <mergeCell ref="A29:C29"/>
    <mergeCell ref="G22:I24"/>
    <mergeCell ref="G26:I26"/>
    <mergeCell ref="G28:I28"/>
    <mergeCell ref="D31:H31"/>
    <mergeCell ref="C32:D32"/>
    <mergeCell ref="B12:D12"/>
    <mergeCell ref="C20:D20"/>
    <mergeCell ref="A21:C21"/>
    <mergeCell ref="D21:F21"/>
    <mergeCell ref="G21:I21"/>
    <mergeCell ref="D22:F24"/>
    <mergeCell ref="A24:C24"/>
  </mergeCells>
  <conditionalFormatting sqref="G13:I19 G21:I30">
    <cfRule type="cellIs" dxfId="4" priority="1" operator="lessThan">
      <formula>today()+60</formula>
    </cfRule>
  </conditionalFormatting>
  <conditionalFormatting sqref="A20:B20 A31:B32">
    <cfRule type="notContainsBlanks" dxfId="5" priority="2">
      <formula>LEN(TRIM(A20))&gt;0</formula>
    </cfRule>
  </conditionalFormatting>
  <dataValidations>
    <dataValidation type="custom" allowBlank="1" showDropDown="1" sqref="G13:I19 G22 G25:I25 G26 G27:I27 G28 G29:I30">
      <formula1>OR(NOT(ISERROR(DATEVALUE(G13))), AND(ISNUMBER(G13), LEFT(CELL("format", G13))="D"))</formula1>
    </dataValidation>
  </dataValidations>
  <printOptions horizontalCentered="1"/>
  <pageMargins bottom="0.75" footer="0.0" header="0.0" left="0.25" right="0.25" top="0.75"/>
  <pageSetup paperSize="9" cellComments="atEnd" orientation="portrait" pageOrder="overThenDown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22.0"/>
    <col customWidth="1" min="3" max="3" width="11.88"/>
    <col customWidth="1" min="4" max="4" width="16.13"/>
    <col customWidth="1" min="5" max="5" width="8.0"/>
    <col customWidth="1" min="6" max="6" width="7.63"/>
    <col customWidth="1" min="7" max="9" width="9.0"/>
  </cols>
  <sheetData>
    <row r="1">
      <c r="E1" s="1" t="s">
        <v>0</v>
      </c>
      <c r="I1" s="1"/>
    </row>
    <row r="2">
      <c r="E2" s="1" t="s">
        <v>1</v>
      </c>
      <c r="I2" s="1"/>
    </row>
    <row r="3">
      <c r="E3" s="1" t="s">
        <v>2</v>
      </c>
      <c r="I3" s="1"/>
    </row>
    <row r="4">
      <c r="E4" s="1" t="s">
        <v>3</v>
      </c>
      <c r="I4" s="1"/>
    </row>
    <row r="9">
      <c r="B9" s="100" t="s">
        <v>64</v>
      </c>
    </row>
    <row r="10">
      <c r="B10" s="58" t="s">
        <v>5</v>
      </c>
    </row>
    <row r="11">
      <c r="A11" s="6" t="s">
        <v>65</v>
      </c>
    </row>
    <row r="12">
      <c r="B12" s="7">
        <f>today()+4</f>
        <v>46220</v>
      </c>
    </row>
    <row r="13">
      <c r="A13" s="8" t="s">
        <v>7</v>
      </c>
      <c r="B13" s="9" t="s">
        <v>8</v>
      </c>
      <c r="C13" s="10" t="s">
        <v>9</v>
      </c>
      <c r="D13" s="10" t="s">
        <v>10</v>
      </c>
      <c r="E13" s="10" t="s">
        <v>11</v>
      </c>
      <c r="F13" s="10" t="s">
        <v>12</v>
      </c>
      <c r="G13" s="11" t="s">
        <v>13</v>
      </c>
      <c r="H13" s="12" t="s">
        <v>14</v>
      </c>
      <c r="I13" s="12" t="s">
        <v>15</v>
      </c>
    </row>
    <row r="14">
      <c r="A14" s="21">
        <v>5.4502406E8</v>
      </c>
      <c r="B14" s="22" t="s">
        <v>26</v>
      </c>
      <c r="C14" s="23" t="s">
        <v>27</v>
      </c>
      <c r="D14" s="16" t="s">
        <v>18</v>
      </c>
      <c r="E14" s="17">
        <v>5.0</v>
      </c>
      <c r="F14" s="17">
        <v>5.0</v>
      </c>
      <c r="G14" s="32">
        <v>46418.0</v>
      </c>
      <c r="H14" s="29">
        <v>46691.0</v>
      </c>
      <c r="I14" s="29"/>
    </row>
    <row r="15">
      <c r="A15" s="13">
        <v>5.45024055E8</v>
      </c>
      <c r="B15" s="14" t="s">
        <v>26</v>
      </c>
      <c r="C15" s="15" t="s">
        <v>28</v>
      </c>
      <c r="D15" s="16" t="s">
        <v>18</v>
      </c>
      <c r="E15" s="17">
        <v>5.0</v>
      </c>
      <c r="F15" s="17">
        <v>5.0</v>
      </c>
      <c r="G15" s="60">
        <v>46387.0</v>
      </c>
      <c r="H15" s="29"/>
      <c r="I15" s="27"/>
    </row>
    <row r="16">
      <c r="A16" s="13">
        <v>5.45024065E8</v>
      </c>
      <c r="B16" s="14" t="s">
        <v>21</v>
      </c>
      <c r="C16" s="15" t="s">
        <v>22</v>
      </c>
      <c r="D16" s="16" t="s">
        <v>18</v>
      </c>
      <c r="E16" s="17">
        <v>2.0</v>
      </c>
      <c r="F16" s="17">
        <v>2.0</v>
      </c>
      <c r="G16" s="24">
        <v>46752.0</v>
      </c>
      <c r="H16" s="24"/>
      <c r="I16" s="99"/>
    </row>
    <row r="17">
      <c r="A17" s="13">
        <v>5.4506487E8</v>
      </c>
      <c r="B17" s="14" t="s">
        <v>16</v>
      </c>
      <c r="C17" s="15" t="s">
        <v>17</v>
      </c>
      <c r="D17" s="16" t="s">
        <v>18</v>
      </c>
      <c r="E17" s="17">
        <v>5.0</v>
      </c>
      <c r="F17" s="17">
        <v>5.0</v>
      </c>
      <c r="G17" s="18">
        <v>46996.0</v>
      </c>
      <c r="H17" s="32">
        <v>47087.0</v>
      </c>
      <c r="I17" s="27"/>
    </row>
    <row r="18">
      <c r="A18" s="21">
        <v>5.4503137E8</v>
      </c>
      <c r="B18" s="22" t="s">
        <v>16</v>
      </c>
      <c r="C18" s="23" t="s">
        <v>19</v>
      </c>
      <c r="D18" s="23" t="s">
        <v>49</v>
      </c>
      <c r="E18" s="17">
        <v>5.0</v>
      </c>
      <c r="F18" s="17">
        <v>5.0</v>
      </c>
      <c r="G18" s="60">
        <v>47149.0</v>
      </c>
      <c r="H18" s="34"/>
      <c r="I18" s="26"/>
    </row>
    <row r="19">
      <c r="A19" s="35"/>
      <c r="B19" s="35"/>
      <c r="C19" s="36"/>
      <c r="E19" s="37"/>
      <c r="F19" s="37"/>
      <c r="G19" s="37"/>
      <c r="H19" s="37"/>
      <c r="I19" s="37"/>
    </row>
    <row r="20" ht="22.5" customHeight="1">
      <c r="A20" s="66" t="s">
        <v>33</v>
      </c>
      <c r="B20" s="67"/>
      <c r="C20" s="68"/>
      <c r="D20" s="66" t="s">
        <v>34</v>
      </c>
      <c r="E20" s="67"/>
      <c r="F20" s="68"/>
      <c r="G20" s="69" t="s">
        <v>66</v>
      </c>
      <c r="H20" s="67"/>
      <c r="I20" s="68"/>
    </row>
    <row r="21">
      <c r="A21" s="73"/>
      <c r="B21" s="71"/>
      <c r="C21" s="72"/>
      <c r="D21" s="89" t="s">
        <v>37</v>
      </c>
      <c r="E21" s="71"/>
      <c r="F21" s="72"/>
      <c r="G21" s="73" t="s">
        <v>67</v>
      </c>
      <c r="H21" s="71"/>
      <c r="I21" s="72"/>
    </row>
    <row r="22">
      <c r="A22" s="52" t="s">
        <v>36</v>
      </c>
      <c r="C22" s="75"/>
      <c r="D22" s="90"/>
      <c r="F22" s="75"/>
      <c r="I22" s="75"/>
    </row>
    <row r="23">
      <c r="A23" s="91"/>
      <c r="B23" s="78"/>
      <c r="C23" s="79"/>
      <c r="D23" s="92"/>
      <c r="E23" s="78"/>
      <c r="F23" s="79"/>
      <c r="G23" s="78"/>
      <c r="H23" s="78"/>
      <c r="I23" s="79"/>
    </row>
    <row r="24">
      <c r="A24" s="50"/>
      <c r="B24" s="50"/>
      <c r="C24" s="50"/>
      <c r="D24" s="50"/>
      <c r="E24" s="50"/>
      <c r="F24" s="50"/>
      <c r="G24" s="51"/>
      <c r="H24" s="51"/>
      <c r="I24" s="51"/>
    </row>
    <row r="25">
      <c r="A25" s="50"/>
      <c r="B25" s="50"/>
      <c r="C25" s="50"/>
      <c r="D25" s="50"/>
      <c r="E25" s="50"/>
      <c r="F25" s="50"/>
      <c r="G25" s="52" t="s">
        <v>40</v>
      </c>
    </row>
    <row r="26">
      <c r="A26" s="50"/>
      <c r="B26" s="50"/>
      <c r="C26" s="50"/>
      <c r="D26" s="50"/>
      <c r="E26" s="50"/>
      <c r="F26" s="50"/>
      <c r="G26" s="51"/>
      <c r="H26" s="51"/>
      <c r="I26" s="51"/>
    </row>
    <row r="27">
      <c r="A27" s="52" t="s">
        <v>41</v>
      </c>
      <c r="D27" s="50"/>
      <c r="E27" s="50"/>
      <c r="F27" s="50"/>
      <c r="G27" s="53" t="s">
        <v>42</v>
      </c>
    </row>
    <row r="28">
      <c r="A28" s="53" t="s">
        <v>68</v>
      </c>
      <c r="D28" s="50"/>
      <c r="E28" s="50"/>
      <c r="F28" s="50"/>
      <c r="G28" s="51"/>
      <c r="H28" s="51"/>
      <c r="I28" s="51"/>
    </row>
    <row r="29">
      <c r="A29" s="53"/>
      <c r="B29" s="53"/>
      <c r="C29" s="53"/>
      <c r="D29" s="50"/>
      <c r="E29" s="50"/>
      <c r="F29" s="50"/>
      <c r="G29" s="51"/>
      <c r="H29" s="51"/>
      <c r="I29" s="51"/>
    </row>
    <row r="30">
      <c r="A30" s="54"/>
      <c r="B30" s="54"/>
      <c r="C30" s="54"/>
      <c r="D30" s="55" t="s">
        <v>44</v>
      </c>
      <c r="I30" s="55"/>
    </row>
    <row r="31">
      <c r="A31" s="56"/>
      <c r="B31" s="56" t="s">
        <v>45</v>
      </c>
      <c r="C31" s="57" t="s">
        <v>46</v>
      </c>
      <c r="E31" s="54"/>
      <c r="F31" s="54"/>
      <c r="G31" s="54"/>
      <c r="H31" s="54"/>
      <c r="I31" s="54"/>
    </row>
  </sheetData>
  <mergeCells count="23">
    <mergeCell ref="E1:H1"/>
    <mergeCell ref="E2:H2"/>
    <mergeCell ref="E3:H3"/>
    <mergeCell ref="E4:H4"/>
    <mergeCell ref="B9:D9"/>
    <mergeCell ref="B10:G10"/>
    <mergeCell ref="A11:G11"/>
    <mergeCell ref="A21:C21"/>
    <mergeCell ref="A22:C22"/>
    <mergeCell ref="A27:C27"/>
    <mergeCell ref="A28:C28"/>
    <mergeCell ref="G21:I23"/>
    <mergeCell ref="G25:I25"/>
    <mergeCell ref="G27:I27"/>
    <mergeCell ref="D30:H30"/>
    <mergeCell ref="C31:D31"/>
    <mergeCell ref="B12:D12"/>
    <mergeCell ref="C19:D19"/>
    <mergeCell ref="A20:C20"/>
    <mergeCell ref="D20:F20"/>
    <mergeCell ref="G20:I20"/>
    <mergeCell ref="D21:F23"/>
    <mergeCell ref="A23:C23"/>
  </mergeCells>
  <conditionalFormatting sqref="G13:I18 G20:I29">
    <cfRule type="cellIs" dxfId="4" priority="1" operator="lessThan">
      <formula>today()+60</formula>
    </cfRule>
  </conditionalFormatting>
  <conditionalFormatting sqref="A19:B19 A30:B31">
    <cfRule type="notContainsBlanks" dxfId="5" priority="2">
      <formula>LEN(TRIM(A19))&gt;0</formula>
    </cfRule>
  </conditionalFormatting>
  <dataValidations>
    <dataValidation type="custom" allowBlank="1" showDropDown="1" sqref="G13:I18 G21 G24:I24 G25 G26:I26 G27 G28:I29">
      <formula1>OR(NOT(ISERROR(DATEVALUE(G13))), AND(ISNUMBER(G13), LEFT(CELL("format", G13))="D"))</formula1>
    </dataValidation>
  </dataValidations>
  <printOptions horizontalCentered="1"/>
  <pageMargins bottom="0.75" footer="0.0" header="0.0" left="0.25" right="0.25" top="0.75"/>
  <pageSetup paperSize="9" cellComments="atEnd" orientation="portrait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2.25"/>
    <col customWidth="1" min="3" max="3" width="11.88"/>
    <col customWidth="1" min="4" max="4" width="16.13"/>
    <col customWidth="1" min="5" max="5" width="8.0"/>
    <col customWidth="1" min="6" max="6" width="7.63"/>
    <col customWidth="1" min="7" max="9" width="9.0"/>
  </cols>
  <sheetData>
    <row r="1">
      <c r="E1" s="1" t="s">
        <v>0</v>
      </c>
      <c r="I1" s="1"/>
    </row>
    <row r="2">
      <c r="E2" s="1" t="s">
        <v>1</v>
      </c>
      <c r="I2" s="1"/>
    </row>
    <row r="3">
      <c r="E3" s="1" t="s">
        <v>2</v>
      </c>
      <c r="I3" s="1"/>
    </row>
    <row r="4">
      <c r="E4" s="1" t="s">
        <v>3</v>
      </c>
      <c r="I4" s="1"/>
    </row>
    <row r="8">
      <c r="C8" s="4" t="s">
        <v>69</v>
      </c>
    </row>
    <row r="9">
      <c r="B9" s="58" t="s">
        <v>5</v>
      </c>
    </row>
    <row r="10">
      <c r="B10" s="6" t="s">
        <v>70</v>
      </c>
    </row>
    <row r="11">
      <c r="C11" s="7">
        <f>today()+4</f>
        <v>46220</v>
      </c>
    </row>
    <row r="12">
      <c r="A12" s="8" t="s">
        <v>7</v>
      </c>
      <c r="B12" s="9" t="s">
        <v>8</v>
      </c>
      <c r="C12" s="10" t="s">
        <v>9</v>
      </c>
      <c r="D12" s="10" t="s">
        <v>10</v>
      </c>
      <c r="E12" s="10" t="s">
        <v>11</v>
      </c>
      <c r="F12" s="10" t="s">
        <v>12</v>
      </c>
      <c r="G12" s="11" t="s">
        <v>13</v>
      </c>
      <c r="H12" s="12" t="s">
        <v>14</v>
      </c>
      <c r="I12" s="12" t="s">
        <v>15</v>
      </c>
    </row>
    <row r="13">
      <c r="A13" s="101">
        <v>5.4506487E8</v>
      </c>
      <c r="B13" s="14" t="s">
        <v>16</v>
      </c>
      <c r="C13" s="15" t="s">
        <v>17</v>
      </c>
      <c r="D13" s="16" t="s">
        <v>18</v>
      </c>
      <c r="E13" s="17">
        <v>3.0</v>
      </c>
      <c r="F13" s="17">
        <v>3.0</v>
      </c>
      <c r="G13" s="18">
        <v>46996.0</v>
      </c>
      <c r="H13" s="59">
        <v>47087.0</v>
      </c>
      <c r="I13" s="27"/>
    </row>
    <row r="14">
      <c r="A14" s="102">
        <v>5.4503137E8</v>
      </c>
      <c r="B14" s="22" t="s">
        <v>16</v>
      </c>
      <c r="C14" s="23" t="s">
        <v>19</v>
      </c>
      <c r="D14" s="23" t="s">
        <v>49</v>
      </c>
      <c r="E14" s="17">
        <v>5.0</v>
      </c>
      <c r="F14" s="17">
        <v>5.0</v>
      </c>
      <c r="G14" s="60">
        <v>47149.0</v>
      </c>
      <c r="H14" s="25"/>
      <c r="I14" s="26"/>
    </row>
    <row r="15">
      <c r="A15" s="102">
        <v>5.45034625E8</v>
      </c>
      <c r="B15" s="22" t="s">
        <v>23</v>
      </c>
      <c r="C15" s="23" t="s">
        <v>24</v>
      </c>
      <c r="D15" s="28" t="s">
        <v>18</v>
      </c>
      <c r="E15" s="17">
        <v>1.0</v>
      </c>
      <c r="F15" s="17">
        <v>1.0</v>
      </c>
      <c r="G15" s="60">
        <v>46477.0</v>
      </c>
      <c r="H15" s="60"/>
      <c r="I15" s="87"/>
    </row>
    <row r="16">
      <c r="A16" s="101">
        <v>5.45024051E8</v>
      </c>
      <c r="B16" s="14" t="s">
        <v>25</v>
      </c>
      <c r="C16" s="15" t="s">
        <v>17</v>
      </c>
      <c r="D16" s="16" t="s">
        <v>18</v>
      </c>
      <c r="E16" s="17">
        <v>1.0</v>
      </c>
      <c r="F16" s="17">
        <v>1.0</v>
      </c>
      <c r="G16" s="32">
        <v>46446.0</v>
      </c>
      <c r="H16" s="19"/>
      <c r="I16" s="27"/>
    </row>
    <row r="17">
      <c r="A17" s="21">
        <v>5.4502406E8</v>
      </c>
      <c r="B17" s="22" t="s">
        <v>26</v>
      </c>
      <c r="C17" s="23" t="s">
        <v>27</v>
      </c>
      <c r="D17" s="16" t="s">
        <v>18</v>
      </c>
      <c r="E17" s="17">
        <v>2.0</v>
      </c>
      <c r="F17" s="17">
        <v>2.0</v>
      </c>
      <c r="G17" s="60">
        <v>46691.0</v>
      </c>
      <c r="H17" s="29"/>
      <c r="I17" s="29"/>
    </row>
    <row r="18">
      <c r="A18" s="13">
        <v>5.45024055E8</v>
      </c>
      <c r="B18" s="14" t="s">
        <v>26</v>
      </c>
      <c r="C18" s="15" t="s">
        <v>28</v>
      </c>
      <c r="D18" s="16" t="s">
        <v>18</v>
      </c>
      <c r="E18" s="17">
        <v>2.0</v>
      </c>
      <c r="F18" s="17">
        <v>2.0</v>
      </c>
      <c r="G18" s="24">
        <v>46387.0</v>
      </c>
      <c r="H18" s="19"/>
      <c r="I18" s="27"/>
    </row>
    <row r="19">
      <c r="A19" s="35"/>
      <c r="B19" s="35"/>
      <c r="C19" s="36"/>
      <c r="E19" s="37"/>
      <c r="F19" s="37"/>
      <c r="G19" s="37"/>
      <c r="H19" s="37"/>
      <c r="I19" s="37"/>
    </row>
    <row r="20" ht="22.5" customHeight="1">
      <c r="A20" s="66" t="s">
        <v>33</v>
      </c>
      <c r="B20" s="67"/>
      <c r="C20" s="68"/>
      <c r="D20" s="66" t="s">
        <v>34</v>
      </c>
      <c r="E20" s="67"/>
      <c r="F20" s="68"/>
      <c r="G20" s="69" t="s">
        <v>71</v>
      </c>
      <c r="H20" s="67"/>
      <c r="I20" s="68"/>
    </row>
    <row r="21">
      <c r="A21" s="73"/>
      <c r="B21" s="71"/>
      <c r="C21" s="72"/>
      <c r="D21" s="89" t="s">
        <v>37</v>
      </c>
      <c r="E21" s="71"/>
      <c r="F21" s="72"/>
      <c r="G21" s="73" t="s">
        <v>72</v>
      </c>
      <c r="H21" s="71"/>
      <c r="I21" s="72"/>
    </row>
    <row r="22">
      <c r="A22" s="74" t="s">
        <v>36</v>
      </c>
      <c r="D22" s="90"/>
      <c r="F22" s="75"/>
      <c r="I22" s="75"/>
    </row>
    <row r="23">
      <c r="A23" s="91"/>
      <c r="B23" s="78"/>
      <c r="C23" s="79"/>
      <c r="D23" s="92"/>
      <c r="E23" s="78"/>
      <c r="F23" s="79"/>
      <c r="G23" s="78"/>
      <c r="H23" s="78"/>
      <c r="I23" s="79"/>
    </row>
    <row r="24">
      <c r="A24" s="50"/>
      <c r="B24" s="50"/>
      <c r="C24" s="50"/>
      <c r="D24" s="50"/>
      <c r="E24" s="50"/>
      <c r="F24" s="50"/>
      <c r="G24" s="51"/>
      <c r="H24" s="51"/>
      <c r="I24" s="51"/>
    </row>
    <row r="25">
      <c r="A25" s="50"/>
      <c r="B25" s="50"/>
      <c r="C25" s="50"/>
      <c r="D25" s="50"/>
      <c r="E25" s="50"/>
      <c r="F25" s="50"/>
      <c r="G25" s="52" t="s">
        <v>40</v>
      </c>
    </row>
    <row r="26">
      <c r="A26" s="50"/>
      <c r="B26" s="50"/>
      <c r="C26" s="50"/>
      <c r="D26" s="50"/>
      <c r="E26" s="50"/>
      <c r="F26" s="50"/>
      <c r="G26" s="51"/>
      <c r="H26" s="51"/>
      <c r="I26" s="51"/>
    </row>
    <row r="27">
      <c r="A27" s="52" t="s">
        <v>53</v>
      </c>
      <c r="D27" s="50"/>
      <c r="E27" s="50"/>
      <c r="F27" s="50"/>
      <c r="G27" s="53" t="s">
        <v>42</v>
      </c>
    </row>
    <row r="28">
      <c r="A28" s="53" t="s">
        <v>43</v>
      </c>
      <c r="D28" s="50"/>
      <c r="E28" s="50"/>
      <c r="F28" s="50"/>
      <c r="G28" s="51"/>
      <c r="H28" s="51"/>
      <c r="I28" s="51"/>
    </row>
    <row r="29">
      <c r="A29" s="50"/>
      <c r="B29" s="50"/>
      <c r="C29" s="50"/>
      <c r="D29" s="50"/>
      <c r="E29" s="50"/>
      <c r="F29" s="50"/>
      <c r="G29" s="51"/>
      <c r="H29" s="51"/>
      <c r="I29" s="51"/>
    </row>
    <row r="30">
      <c r="A30" s="54"/>
      <c r="B30" s="54"/>
      <c r="C30" s="54"/>
      <c r="D30" s="55" t="s">
        <v>44</v>
      </c>
      <c r="I30" s="55"/>
    </row>
    <row r="31">
      <c r="A31" s="56"/>
      <c r="B31" s="56" t="s">
        <v>45</v>
      </c>
      <c r="C31" s="57" t="s">
        <v>46</v>
      </c>
      <c r="E31" s="54"/>
      <c r="F31" s="54"/>
      <c r="G31" s="54"/>
      <c r="H31" s="54"/>
      <c r="I31" s="54"/>
    </row>
  </sheetData>
  <mergeCells count="23">
    <mergeCell ref="E1:H1"/>
    <mergeCell ref="E2:H2"/>
    <mergeCell ref="E3:H3"/>
    <mergeCell ref="E4:H4"/>
    <mergeCell ref="C8:D8"/>
    <mergeCell ref="B9:H9"/>
    <mergeCell ref="B10:G10"/>
    <mergeCell ref="A21:C21"/>
    <mergeCell ref="A22:C22"/>
    <mergeCell ref="A27:C27"/>
    <mergeCell ref="A28:C28"/>
    <mergeCell ref="G21:I23"/>
    <mergeCell ref="G25:I25"/>
    <mergeCell ref="G27:I27"/>
    <mergeCell ref="D30:H30"/>
    <mergeCell ref="C31:D31"/>
    <mergeCell ref="C11:D11"/>
    <mergeCell ref="C19:D19"/>
    <mergeCell ref="A20:C20"/>
    <mergeCell ref="D20:F20"/>
    <mergeCell ref="G20:I20"/>
    <mergeCell ref="D21:F23"/>
    <mergeCell ref="A23:C23"/>
  </mergeCells>
  <conditionalFormatting sqref="G12:I18 G20:I29">
    <cfRule type="cellIs" dxfId="4" priority="1" operator="lessThan">
      <formula>today()+60</formula>
    </cfRule>
  </conditionalFormatting>
  <conditionalFormatting sqref="A19:B19 A30:B31">
    <cfRule type="notContainsBlanks" dxfId="5" priority="2">
      <formula>LEN(TRIM(A19))&gt;0</formula>
    </cfRule>
  </conditionalFormatting>
  <dataValidations>
    <dataValidation type="custom" allowBlank="1" showDropDown="1" sqref="G12:I18 G21 G24:I24 G25 G26:I26 G27 G28:I29">
      <formula1>OR(NOT(ISERROR(DATEVALUE(G12))), AND(ISNUMBER(G12), LEFT(CELL("format", G12))="D"))</formula1>
    </dataValidation>
  </dataValidations>
  <printOptions horizontalCentered="1"/>
  <pageMargins bottom="0.75" footer="0.0" header="0.0" left="0.25" right="0.25" top="0.75"/>
  <pageSetup paperSize="9" cellComments="atEnd" orientation="portrait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1.88"/>
    <col customWidth="1" min="3" max="3" width="16.13"/>
    <col customWidth="1" min="4" max="4" width="8.0"/>
    <col customWidth="1" min="5" max="5" width="7.63"/>
    <col customWidth="1" min="6" max="8" width="9.0"/>
  </cols>
  <sheetData>
    <row r="1">
      <c r="A1" s="80" t="s">
        <v>73</v>
      </c>
      <c r="D1" s="1" t="s">
        <v>0</v>
      </c>
      <c r="H1" s="1"/>
    </row>
    <row r="2">
      <c r="D2" s="1" t="s">
        <v>1</v>
      </c>
      <c r="H2" s="1"/>
    </row>
    <row r="3">
      <c r="D3" s="1" t="s">
        <v>2</v>
      </c>
      <c r="H3" s="1"/>
    </row>
    <row r="4">
      <c r="D4" s="1" t="s">
        <v>3</v>
      </c>
      <c r="H4" s="1"/>
    </row>
    <row r="8">
      <c r="C8" s="4"/>
    </row>
    <row r="9">
      <c r="C9" s="4" t="s">
        <v>74</v>
      </c>
    </row>
    <row r="10">
      <c r="B10" s="58" t="s">
        <v>5</v>
      </c>
    </row>
    <row r="11">
      <c r="B11" s="6" t="s">
        <v>48</v>
      </c>
    </row>
    <row r="12">
      <c r="C12" s="7">
        <f>today()+4</f>
        <v>46220</v>
      </c>
    </row>
    <row r="13">
      <c r="A13" s="9" t="s">
        <v>8</v>
      </c>
      <c r="B13" s="10" t="s">
        <v>9</v>
      </c>
      <c r="C13" s="10" t="s">
        <v>10</v>
      </c>
      <c r="D13" s="10" t="s">
        <v>11</v>
      </c>
      <c r="E13" s="10" t="s">
        <v>12</v>
      </c>
      <c r="F13" s="11" t="s">
        <v>13</v>
      </c>
      <c r="G13" s="12" t="s">
        <v>14</v>
      </c>
      <c r="H13" s="12" t="s">
        <v>15</v>
      </c>
    </row>
    <row r="14">
      <c r="A14" s="14" t="s">
        <v>21</v>
      </c>
      <c r="B14" s="15" t="s">
        <v>22</v>
      </c>
      <c r="C14" s="16" t="s">
        <v>18</v>
      </c>
      <c r="D14" s="17"/>
      <c r="E14" s="17"/>
      <c r="F14" s="18"/>
      <c r="G14" s="103"/>
      <c r="H14" s="27"/>
    </row>
    <row r="15">
      <c r="A15" s="14" t="s">
        <v>25</v>
      </c>
      <c r="B15" s="15" t="s">
        <v>17</v>
      </c>
      <c r="C15" s="16" t="s">
        <v>18</v>
      </c>
      <c r="D15" s="17"/>
      <c r="E15" s="17"/>
      <c r="F15" s="19"/>
      <c r="G15" s="104"/>
      <c r="H15" s="27"/>
    </row>
    <row r="16">
      <c r="A16" s="22" t="s">
        <v>23</v>
      </c>
      <c r="B16" s="23" t="s">
        <v>24</v>
      </c>
      <c r="C16" s="28" t="s">
        <v>18</v>
      </c>
      <c r="D16" s="17"/>
      <c r="E16" s="17"/>
      <c r="F16" s="24"/>
      <c r="G16" s="24"/>
      <c r="H16" s="99"/>
    </row>
    <row r="17">
      <c r="A17" s="35"/>
      <c r="B17" s="36"/>
      <c r="D17" s="37"/>
      <c r="E17" s="37"/>
      <c r="F17" s="37"/>
      <c r="G17" s="37"/>
      <c r="H17" s="37"/>
    </row>
    <row r="18" ht="22.5" customHeight="1">
      <c r="A18" s="66" t="s">
        <v>33</v>
      </c>
      <c r="B18" s="68"/>
      <c r="C18" s="66" t="s">
        <v>34</v>
      </c>
      <c r="D18" s="67"/>
      <c r="E18" s="68"/>
      <c r="F18" s="69" t="s">
        <v>51</v>
      </c>
      <c r="G18" s="67"/>
      <c r="H18" s="68"/>
    </row>
    <row r="19">
      <c r="A19" s="73" t="s">
        <v>36</v>
      </c>
      <c r="B19" s="72"/>
      <c r="C19" s="89" t="s">
        <v>75</v>
      </c>
      <c r="D19" s="71"/>
      <c r="E19" s="72"/>
      <c r="F19" s="73" t="s">
        <v>76</v>
      </c>
      <c r="G19" s="71"/>
      <c r="H19" s="72"/>
    </row>
    <row r="20">
      <c r="B20" s="75"/>
      <c r="C20" s="90"/>
      <c r="E20" s="75"/>
      <c r="H20" s="75"/>
    </row>
    <row r="21">
      <c r="A21" s="78"/>
      <c r="B21" s="79"/>
      <c r="C21" s="92"/>
      <c r="D21" s="78"/>
      <c r="E21" s="79"/>
      <c r="F21" s="78"/>
      <c r="G21" s="78"/>
      <c r="H21" s="79"/>
    </row>
    <row r="22">
      <c r="A22" s="50"/>
      <c r="B22" s="50"/>
      <c r="C22" s="50"/>
      <c r="D22" s="50"/>
      <c r="E22" s="50"/>
      <c r="F22" s="51"/>
      <c r="G22" s="51"/>
      <c r="H22" s="51"/>
    </row>
    <row r="23">
      <c r="A23" s="50"/>
      <c r="B23" s="50"/>
      <c r="C23" s="50"/>
      <c r="D23" s="50"/>
      <c r="E23" s="50"/>
      <c r="F23" s="52" t="s">
        <v>40</v>
      </c>
    </row>
    <row r="24">
      <c r="A24" s="50"/>
      <c r="B24" s="50"/>
      <c r="C24" s="50"/>
      <c r="D24" s="50"/>
      <c r="E24" s="50"/>
      <c r="F24" s="51"/>
      <c r="G24" s="51"/>
      <c r="H24" s="51"/>
    </row>
    <row r="25">
      <c r="A25" s="52" t="s">
        <v>41</v>
      </c>
      <c r="C25" s="50"/>
      <c r="D25" s="50"/>
      <c r="E25" s="50"/>
      <c r="F25" s="53" t="s">
        <v>42</v>
      </c>
    </row>
    <row r="26">
      <c r="A26" s="53" t="s">
        <v>43</v>
      </c>
      <c r="C26" s="50"/>
      <c r="D26" s="50"/>
      <c r="E26" s="50"/>
      <c r="F26" s="51"/>
      <c r="G26" s="51"/>
      <c r="H26" s="51"/>
    </row>
    <row r="27">
      <c r="A27" s="50"/>
      <c r="B27" s="50"/>
      <c r="C27" s="50"/>
      <c r="D27" s="50"/>
      <c r="E27" s="50"/>
      <c r="F27" s="51"/>
      <c r="G27" s="51"/>
      <c r="H27" s="51"/>
    </row>
    <row r="28">
      <c r="A28" s="54"/>
      <c r="B28" s="54"/>
      <c r="C28" s="55" t="s">
        <v>44</v>
      </c>
      <c r="H28" s="55"/>
    </row>
    <row r="29">
      <c r="A29" s="56" t="s">
        <v>45</v>
      </c>
      <c r="B29" s="57" t="s">
        <v>46</v>
      </c>
      <c r="D29" s="54"/>
      <c r="E29" s="54"/>
      <c r="F29" s="54"/>
      <c r="G29" s="54"/>
      <c r="H29" s="54"/>
    </row>
  </sheetData>
  <mergeCells count="19">
    <mergeCell ref="D1:G1"/>
    <mergeCell ref="D2:G2"/>
    <mergeCell ref="D3:G3"/>
    <mergeCell ref="D4:G4"/>
    <mergeCell ref="B10:G10"/>
    <mergeCell ref="B11:F11"/>
    <mergeCell ref="B17:C17"/>
    <mergeCell ref="A25:B25"/>
    <mergeCell ref="F25:H25"/>
    <mergeCell ref="A26:B26"/>
    <mergeCell ref="C28:G28"/>
    <mergeCell ref="B29:C29"/>
    <mergeCell ref="A18:B18"/>
    <mergeCell ref="C18:E18"/>
    <mergeCell ref="F18:H18"/>
    <mergeCell ref="A19:B21"/>
    <mergeCell ref="C19:E21"/>
    <mergeCell ref="F19:H21"/>
    <mergeCell ref="F23:H23"/>
  </mergeCells>
  <conditionalFormatting sqref="F13:H16 F18 G18:H27 F20:F27">
    <cfRule type="cellIs" dxfId="4" priority="1" operator="lessThan">
      <formula>today()+60</formula>
    </cfRule>
  </conditionalFormatting>
  <conditionalFormatting sqref="A17 A28:A29">
    <cfRule type="notContainsBlanks" dxfId="5" priority="2">
      <formula>LEN(TRIM(A17))&gt;0</formula>
    </cfRule>
  </conditionalFormatting>
  <dataValidations>
    <dataValidation type="custom" allowBlank="1" showDropDown="1" sqref="F13:H16 F19 F22:H22 F23 F24:H24 F25 F26:H27">
      <formula1>OR(NOT(ISERROR(DATEVALUE(F13))), AND(ISNUMBER(F13), LEFT(CELL("format", F13))="D"))</formula1>
    </dataValidation>
  </dataValidations>
  <printOptions horizontalCentered="1"/>
  <pageMargins bottom="0.75" footer="0.0" header="0.0" left="0.25" right="0.25" top="0.75"/>
  <pageSetup paperSize="9" cellComments="atEnd" orientation="portrait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7.38"/>
    <col customWidth="1" min="3" max="3" width="11.88"/>
    <col customWidth="1" min="4" max="4" width="16.13"/>
    <col customWidth="1" min="5" max="5" width="8.0"/>
    <col customWidth="1" min="6" max="6" width="7.63"/>
    <col customWidth="1" min="7" max="9" width="9.0"/>
  </cols>
  <sheetData>
    <row r="1">
      <c r="E1" s="1" t="s">
        <v>0</v>
      </c>
      <c r="I1" s="1"/>
    </row>
    <row r="2">
      <c r="E2" s="1" t="s">
        <v>1</v>
      </c>
      <c r="I2" s="1"/>
    </row>
    <row r="3">
      <c r="E3" s="1" t="s">
        <v>2</v>
      </c>
      <c r="I3" s="1"/>
    </row>
    <row r="4">
      <c r="E4" s="1" t="s">
        <v>3</v>
      </c>
      <c r="I4" s="1"/>
    </row>
    <row r="8">
      <c r="C8" s="4" t="s">
        <v>77</v>
      </c>
    </row>
    <row r="9">
      <c r="B9" s="58" t="s">
        <v>5</v>
      </c>
    </row>
    <row r="10">
      <c r="A10" s="6" t="s">
        <v>78</v>
      </c>
    </row>
    <row r="11">
      <c r="C11" s="7">
        <f>today()+4</f>
        <v>46220</v>
      </c>
    </row>
    <row r="12">
      <c r="A12" s="8" t="s">
        <v>7</v>
      </c>
      <c r="B12" s="9" t="s">
        <v>8</v>
      </c>
      <c r="C12" s="10" t="s">
        <v>9</v>
      </c>
      <c r="D12" s="10" t="s">
        <v>10</v>
      </c>
      <c r="E12" s="10" t="s">
        <v>11</v>
      </c>
      <c r="F12" s="10" t="s">
        <v>12</v>
      </c>
      <c r="G12" s="11" t="s">
        <v>13</v>
      </c>
      <c r="H12" s="12" t="s">
        <v>14</v>
      </c>
      <c r="I12" s="12" t="s">
        <v>15</v>
      </c>
    </row>
    <row r="13">
      <c r="A13" s="13">
        <v>5.4506487E8</v>
      </c>
      <c r="B13" s="14" t="s">
        <v>16</v>
      </c>
      <c r="C13" s="15" t="s">
        <v>17</v>
      </c>
      <c r="D13" s="16" t="s">
        <v>18</v>
      </c>
      <c r="E13" s="17">
        <v>3.0</v>
      </c>
      <c r="F13" s="17">
        <v>3.0</v>
      </c>
      <c r="G13" s="59">
        <v>47026.0</v>
      </c>
      <c r="I13" s="27"/>
    </row>
    <row r="14">
      <c r="A14" s="21">
        <v>5.4503137E8</v>
      </c>
      <c r="B14" s="22" t="s">
        <v>16</v>
      </c>
      <c r="C14" s="23" t="s">
        <v>19</v>
      </c>
      <c r="D14" s="23" t="s">
        <v>49</v>
      </c>
      <c r="E14" s="17">
        <v>5.0</v>
      </c>
      <c r="F14" s="17">
        <v>5.0</v>
      </c>
      <c r="G14" s="24">
        <v>47149.0</v>
      </c>
      <c r="H14" s="25"/>
      <c r="I14" s="26"/>
    </row>
    <row r="15">
      <c r="A15" s="21">
        <v>5.4502406E8</v>
      </c>
      <c r="B15" s="22" t="s">
        <v>26</v>
      </c>
      <c r="C15" s="23" t="s">
        <v>27</v>
      </c>
      <c r="D15" s="16" t="s">
        <v>18</v>
      </c>
      <c r="E15" s="17">
        <v>2.0</v>
      </c>
      <c r="F15" s="17">
        <v>2.0</v>
      </c>
      <c r="G15" s="60">
        <v>46418.0</v>
      </c>
      <c r="H15" s="29"/>
      <c r="I15" s="29"/>
    </row>
    <row r="16">
      <c r="A16" s="13">
        <v>5.45024055E8</v>
      </c>
      <c r="B16" s="14" t="s">
        <v>26</v>
      </c>
      <c r="C16" s="15" t="s">
        <v>28</v>
      </c>
      <c r="D16" s="16" t="s">
        <v>18</v>
      </c>
      <c r="E16" s="17">
        <v>3.0</v>
      </c>
      <c r="F16" s="17">
        <v>3.0</v>
      </c>
      <c r="G16" s="19">
        <v>46387.0</v>
      </c>
      <c r="H16" s="19"/>
      <c r="I16" s="19"/>
    </row>
    <row r="17">
      <c r="A17" s="35"/>
      <c r="B17" s="35"/>
      <c r="C17" s="36"/>
      <c r="E17" s="37"/>
      <c r="F17" s="37"/>
      <c r="G17" s="37"/>
      <c r="H17" s="37"/>
      <c r="I17" s="37"/>
    </row>
    <row r="18" ht="22.5" customHeight="1">
      <c r="A18" s="66" t="s">
        <v>33</v>
      </c>
      <c r="B18" s="67"/>
      <c r="C18" s="68"/>
      <c r="D18" s="66" t="s">
        <v>34</v>
      </c>
      <c r="E18" s="67"/>
      <c r="F18" s="68"/>
      <c r="G18" s="69" t="s">
        <v>79</v>
      </c>
      <c r="H18" s="67"/>
      <c r="I18" s="68"/>
    </row>
    <row r="19">
      <c r="A19" s="73"/>
      <c r="B19" s="71"/>
      <c r="C19" s="72"/>
      <c r="D19" s="89" t="s">
        <v>37</v>
      </c>
      <c r="E19" s="71"/>
      <c r="F19" s="72"/>
      <c r="G19" s="73" t="s">
        <v>80</v>
      </c>
      <c r="H19" s="71"/>
      <c r="I19" s="72"/>
    </row>
    <row r="20">
      <c r="A20" s="52" t="s">
        <v>36</v>
      </c>
      <c r="C20" s="75"/>
      <c r="D20" s="90"/>
      <c r="F20" s="75"/>
      <c r="I20" s="75"/>
    </row>
    <row r="21">
      <c r="A21" s="91"/>
      <c r="B21" s="78"/>
      <c r="C21" s="79"/>
      <c r="D21" s="92"/>
      <c r="E21" s="78"/>
      <c r="F21" s="79"/>
      <c r="G21" s="78"/>
      <c r="H21" s="78"/>
      <c r="I21" s="79"/>
    </row>
    <row r="22">
      <c r="A22" s="50"/>
      <c r="B22" s="50"/>
      <c r="C22" s="50"/>
      <c r="D22" s="50"/>
      <c r="E22" s="50"/>
      <c r="F22" s="50"/>
      <c r="G22" s="51"/>
      <c r="H22" s="51"/>
      <c r="I22" s="51"/>
    </row>
    <row r="23">
      <c r="A23" s="50"/>
      <c r="B23" s="50"/>
      <c r="C23" s="50"/>
      <c r="D23" s="50"/>
      <c r="E23" s="50"/>
      <c r="F23" s="50"/>
      <c r="G23" s="52" t="s">
        <v>40</v>
      </c>
    </row>
    <row r="24">
      <c r="A24" s="50"/>
      <c r="B24" s="50"/>
      <c r="C24" s="50"/>
      <c r="D24" s="50"/>
      <c r="E24" s="50"/>
      <c r="F24" s="50"/>
      <c r="G24" s="51"/>
      <c r="H24" s="51"/>
      <c r="I24" s="51"/>
    </row>
    <row r="25">
      <c r="A25" s="52" t="s">
        <v>53</v>
      </c>
      <c r="D25" s="50"/>
      <c r="E25" s="50"/>
      <c r="F25" s="50"/>
      <c r="G25" s="53" t="s">
        <v>42</v>
      </c>
    </row>
    <row r="26">
      <c r="A26" s="53" t="s">
        <v>43</v>
      </c>
      <c r="D26" s="50"/>
      <c r="E26" s="50"/>
      <c r="F26" s="50"/>
      <c r="G26" s="51"/>
      <c r="H26" s="51"/>
      <c r="I26" s="51"/>
    </row>
    <row r="27">
      <c r="A27" s="50"/>
      <c r="B27" s="50"/>
      <c r="C27" s="50"/>
      <c r="D27" s="50"/>
      <c r="E27" s="50"/>
      <c r="F27" s="50"/>
      <c r="G27" s="51"/>
      <c r="H27" s="51"/>
      <c r="I27" s="51"/>
    </row>
    <row r="28">
      <c r="A28" s="54"/>
      <c r="B28" s="54"/>
      <c r="C28" s="54"/>
      <c r="D28" s="55" t="s">
        <v>44</v>
      </c>
      <c r="I28" s="55"/>
    </row>
    <row r="29">
      <c r="A29" s="56"/>
      <c r="B29" s="56" t="s">
        <v>45</v>
      </c>
      <c r="C29" s="57" t="s">
        <v>46</v>
      </c>
      <c r="E29" s="54"/>
      <c r="F29" s="54"/>
      <c r="G29" s="54"/>
      <c r="H29" s="54"/>
      <c r="I29" s="54"/>
    </row>
  </sheetData>
  <mergeCells count="23">
    <mergeCell ref="E1:H1"/>
    <mergeCell ref="E2:H2"/>
    <mergeCell ref="E3:H3"/>
    <mergeCell ref="E4:H4"/>
    <mergeCell ref="C8:D8"/>
    <mergeCell ref="B9:H9"/>
    <mergeCell ref="A10:H10"/>
    <mergeCell ref="A19:C19"/>
    <mergeCell ref="A20:C20"/>
    <mergeCell ref="A25:C25"/>
    <mergeCell ref="A26:C26"/>
    <mergeCell ref="G19:I21"/>
    <mergeCell ref="G23:I23"/>
    <mergeCell ref="G25:I25"/>
    <mergeCell ref="D28:H28"/>
    <mergeCell ref="C29:D29"/>
    <mergeCell ref="C11:D11"/>
    <mergeCell ref="C17:D17"/>
    <mergeCell ref="A18:C18"/>
    <mergeCell ref="D18:F18"/>
    <mergeCell ref="G18:I18"/>
    <mergeCell ref="D19:F21"/>
    <mergeCell ref="A21:C21"/>
  </mergeCells>
  <conditionalFormatting sqref="G12:I16 G18:I27">
    <cfRule type="cellIs" dxfId="4" priority="1" operator="lessThan">
      <formula>today()+60</formula>
    </cfRule>
  </conditionalFormatting>
  <conditionalFormatting sqref="A17:B17 A28:B29">
    <cfRule type="notContainsBlanks" dxfId="5" priority="2">
      <formula>LEN(TRIM(A17))&gt;0</formula>
    </cfRule>
  </conditionalFormatting>
  <dataValidations>
    <dataValidation type="custom" allowBlank="1" showDropDown="1" sqref="G12:I12 G13 I13 G14:I16 G19 G22:I22 G23 G24:I24 G25 G26:I27">
      <formula1>OR(NOT(ISERROR(DATEVALUE(G12))), AND(ISNUMBER(G12), LEFT(CELL("format", G12))="D"))</formula1>
    </dataValidation>
  </dataValidations>
  <printOptions horizontalCentered="1"/>
  <pageMargins bottom="0.75" footer="0.0" header="0.0" left="0.25" right="0.25" top="0.75"/>
  <pageSetup paperSize="9" cellComments="atEnd" orientation="portrait" pageOrder="overThenDown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7.88"/>
    <col customWidth="1" min="3" max="3" width="11.88"/>
    <col customWidth="1" min="4" max="4" width="16.13"/>
    <col customWidth="1" min="5" max="5" width="8.0"/>
    <col customWidth="1" min="6" max="6" width="7.63"/>
    <col customWidth="1" min="7" max="9" width="9.0"/>
  </cols>
  <sheetData>
    <row r="1">
      <c r="A1" s="80"/>
      <c r="B1" s="80">
        <v>7.0</v>
      </c>
      <c r="E1" s="1" t="s">
        <v>0</v>
      </c>
      <c r="I1" s="1"/>
    </row>
    <row r="2">
      <c r="E2" s="1" t="s">
        <v>1</v>
      </c>
      <c r="I2" s="1"/>
    </row>
    <row r="3">
      <c r="E3" s="1" t="s">
        <v>2</v>
      </c>
      <c r="I3" s="1"/>
    </row>
    <row r="4">
      <c r="E4" s="1" t="s">
        <v>3</v>
      </c>
      <c r="I4" s="1"/>
    </row>
    <row r="8">
      <c r="C8" s="4" t="s">
        <v>81</v>
      </c>
    </row>
    <row r="9">
      <c r="B9" s="58" t="s">
        <v>5</v>
      </c>
    </row>
    <row r="10">
      <c r="B10" s="6" t="s">
        <v>82</v>
      </c>
    </row>
    <row r="12">
      <c r="C12" s="7">
        <f>today()+4</f>
        <v>46220</v>
      </c>
    </row>
    <row r="13">
      <c r="A13" s="8" t="s">
        <v>7</v>
      </c>
      <c r="B13" s="9" t="s">
        <v>8</v>
      </c>
      <c r="C13" s="10" t="s">
        <v>9</v>
      </c>
      <c r="D13" s="10" t="s">
        <v>10</v>
      </c>
      <c r="E13" s="10" t="s">
        <v>11</v>
      </c>
      <c r="F13" s="10" t="s">
        <v>12</v>
      </c>
      <c r="G13" s="11" t="s">
        <v>13</v>
      </c>
      <c r="H13" s="12" t="s">
        <v>14</v>
      </c>
      <c r="I13" s="12" t="s">
        <v>15</v>
      </c>
    </row>
    <row r="14">
      <c r="A14" s="21">
        <v>5.4502406E8</v>
      </c>
      <c r="B14" s="22" t="s">
        <v>26</v>
      </c>
      <c r="C14" s="23" t="s">
        <v>27</v>
      </c>
      <c r="D14" s="16" t="s">
        <v>18</v>
      </c>
      <c r="E14" s="17">
        <v>10.0</v>
      </c>
      <c r="F14" s="17">
        <v>10.0</v>
      </c>
      <c r="G14" s="30">
        <v>46418.0</v>
      </c>
      <c r="H14" s="30"/>
    </row>
    <row r="15">
      <c r="A15" s="13">
        <v>5.45024055E8</v>
      </c>
      <c r="B15" s="14" t="s">
        <v>26</v>
      </c>
      <c r="C15" s="15" t="s">
        <v>28</v>
      </c>
      <c r="D15" s="16" t="s">
        <v>18</v>
      </c>
      <c r="E15" s="17">
        <v>5.0</v>
      </c>
      <c r="F15" s="17">
        <v>5.0</v>
      </c>
      <c r="G15" s="32">
        <v>46387.0</v>
      </c>
      <c r="H15" s="29"/>
      <c r="I15" s="27"/>
    </row>
    <row r="16">
      <c r="A16" s="35"/>
      <c r="B16" s="35"/>
      <c r="C16" s="36"/>
      <c r="E16" s="37"/>
      <c r="F16" s="37"/>
      <c r="G16" s="37"/>
      <c r="H16" s="37"/>
      <c r="I16" s="37"/>
    </row>
    <row r="17" ht="22.5" customHeight="1">
      <c r="A17" s="66" t="s">
        <v>33</v>
      </c>
      <c r="B17" s="67"/>
      <c r="C17" s="68"/>
      <c r="D17" s="66" t="s">
        <v>34</v>
      </c>
      <c r="E17" s="67"/>
      <c r="F17" s="68"/>
      <c r="G17" s="69" t="s">
        <v>83</v>
      </c>
      <c r="H17" s="67"/>
      <c r="I17" s="68"/>
    </row>
    <row r="18">
      <c r="A18" s="44"/>
      <c r="B18" s="42"/>
      <c r="C18" s="43"/>
      <c r="D18" s="73" t="s">
        <v>37</v>
      </c>
      <c r="E18" s="71"/>
      <c r="F18" s="72"/>
      <c r="G18" s="73" t="s">
        <v>84</v>
      </c>
      <c r="H18" s="71"/>
      <c r="I18" s="72"/>
    </row>
    <row r="19">
      <c r="A19" s="105" t="s">
        <v>36</v>
      </c>
      <c r="C19" s="46"/>
      <c r="F19" s="75"/>
      <c r="I19" s="75"/>
    </row>
    <row r="20">
      <c r="A20" s="106"/>
      <c r="B20" s="48"/>
      <c r="C20" s="49"/>
      <c r="D20" s="78"/>
      <c r="E20" s="78"/>
      <c r="F20" s="79"/>
      <c r="G20" s="78"/>
      <c r="H20" s="78"/>
      <c r="I20" s="79"/>
    </row>
    <row r="21">
      <c r="A21" s="50"/>
      <c r="B21" s="50"/>
      <c r="C21" s="50"/>
      <c r="D21" s="50"/>
      <c r="E21" s="50"/>
      <c r="F21" s="50"/>
      <c r="G21" s="51"/>
      <c r="H21" s="51"/>
      <c r="I21" s="93" t="s">
        <v>85</v>
      </c>
    </row>
    <row r="22">
      <c r="A22" s="50"/>
      <c r="B22" s="50"/>
      <c r="C22" s="50"/>
      <c r="D22" s="50"/>
      <c r="E22" s="50"/>
      <c r="F22" s="50"/>
      <c r="G22" s="52" t="s">
        <v>40</v>
      </c>
    </row>
    <row r="23">
      <c r="A23" s="50"/>
      <c r="B23" s="50"/>
      <c r="C23" s="50"/>
      <c r="D23" s="50"/>
      <c r="E23" s="50"/>
      <c r="F23" s="50"/>
      <c r="G23" s="51"/>
      <c r="H23" s="51"/>
      <c r="I23" s="51"/>
    </row>
    <row r="24">
      <c r="A24" s="52" t="s">
        <v>53</v>
      </c>
      <c r="D24" s="50"/>
      <c r="E24" s="50"/>
      <c r="F24" s="50"/>
      <c r="G24" s="53" t="s">
        <v>42</v>
      </c>
    </row>
    <row r="25">
      <c r="A25" s="53" t="s">
        <v>43</v>
      </c>
      <c r="D25" s="50"/>
      <c r="E25" s="50"/>
      <c r="F25" s="50"/>
      <c r="G25" s="51"/>
      <c r="H25" s="51"/>
      <c r="I25" s="51"/>
    </row>
    <row r="26">
      <c r="A26" s="50"/>
      <c r="B26" s="50"/>
      <c r="C26" s="50"/>
      <c r="D26" s="50"/>
      <c r="E26" s="50"/>
      <c r="F26" s="50"/>
      <c r="G26" s="51"/>
      <c r="H26" s="51"/>
      <c r="I26" s="51"/>
    </row>
    <row r="27">
      <c r="A27" s="54"/>
      <c r="B27" s="54"/>
      <c r="C27" s="54"/>
      <c r="D27" s="55" t="s">
        <v>44</v>
      </c>
      <c r="I27" s="55"/>
    </row>
    <row r="28">
      <c r="A28" s="56"/>
      <c r="B28" s="56" t="s">
        <v>45</v>
      </c>
      <c r="C28" s="57" t="s">
        <v>46</v>
      </c>
      <c r="E28" s="54"/>
      <c r="F28" s="54"/>
      <c r="G28" s="54"/>
      <c r="H28" s="54"/>
      <c r="I28" s="54"/>
    </row>
  </sheetData>
  <mergeCells count="23">
    <mergeCell ref="E1:H1"/>
    <mergeCell ref="E2:H2"/>
    <mergeCell ref="E3:H3"/>
    <mergeCell ref="E4:H4"/>
    <mergeCell ref="C8:D8"/>
    <mergeCell ref="B9:G9"/>
    <mergeCell ref="B10:G10"/>
    <mergeCell ref="A18:C18"/>
    <mergeCell ref="A19:C19"/>
    <mergeCell ref="A24:C24"/>
    <mergeCell ref="A25:C25"/>
    <mergeCell ref="G18:I20"/>
    <mergeCell ref="G22:I22"/>
    <mergeCell ref="G24:I24"/>
    <mergeCell ref="D27:H27"/>
    <mergeCell ref="C28:D28"/>
    <mergeCell ref="C12:D12"/>
    <mergeCell ref="C16:D16"/>
    <mergeCell ref="A17:C17"/>
    <mergeCell ref="D17:F17"/>
    <mergeCell ref="G17:I17"/>
    <mergeCell ref="D18:F20"/>
    <mergeCell ref="A20:C20"/>
  </mergeCells>
  <conditionalFormatting sqref="G13:I15 G17:I26">
    <cfRule type="cellIs" dxfId="4" priority="1" operator="lessThan">
      <formula>today()+60</formula>
    </cfRule>
  </conditionalFormatting>
  <conditionalFormatting sqref="A16:B16 A27:B28">
    <cfRule type="notContainsBlanks" dxfId="5" priority="2">
      <formula>LEN(TRIM(A16))&gt;0</formula>
    </cfRule>
  </conditionalFormatting>
  <dataValidations>
    <dataValidation type="custom" allowBlank="1" showDropDown="1" sqref="G13:I13 G15:I15 G18 G21:I21 G22 G23:I23 G24 G25:I26">
      <formula1>OR(NOT(ISERROR(DATEVALUE(G13))), AND(ISNUMBER(G13), LEFT(CELL("format", G13))="D"))</formula1>
    </dataValidation>
  </dataValidations>
  <printOptions horizontalCentered="1"/>
  <pageMargins bottom="0.75" footer="0.0" header="0.0" left="0.25" right="0.25" top="0.75"/>
  <pageSetup paperSize="9" cellComments="atEnd" orientation="portrait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7.88"/>
    <col customWidth="1" min="3" max="3" width="11.88"/>
    <col customWidth="1" min="4" max="4" width="16.13"/>
    <col customWidth="1" min="5" max="5" width="8.0"/>
    <col customWidth="1" min="6" max="6" width="7.63"/>
    <col customWidth="1" min="7" max="9" width="9.0"/>
  </cols>
  <sheetData>
    <row r="1">
      <c r="E1" s="1" t="s">
        <v>0</v>
      </c>
      <c r="I1" s="1"/>
    </row>
    <row r="2">
      <c r="E2" s="1" t="s">
        <v>1</v>
      </c>
      <c r="I2" s="1"/>
    </row>
    <row r="3">
      <c r="E3" s="1" t="s">
        <v>2</v>
      </c>
      <c r="I3" s="1"/>
    </row>
    <row r="4">
      <c r="E4" s="1" t="s">
        <v>3</v>
      </c>
      <c r="I4" s="1"/>
    </row>
    <row r="9">
      <c r="C9" s="4" t="s">
        <v>86</v>
      </c>
    </row>
    <row r="10">
      <c r="B10" s="107" t="s">
        <v>5</v>
      </c>
    </row>
    <row r="11">
      <c r="C11" s="6" t="s">
        <v>87</v>
      </c>
    </row>
    <row r="12">
      <c r="C12" s="7">
        <f>today()+4</f>
        <v>46220</v>
      </c>
    </row>
    <row r="13">
      <c r="A13" s="8" t="s">
        <v>7</v>
      </c>
      <c r="B13" s="9" t="s">
        <v>8</v>
      </c>
      <c r="C13" s="10" t="s">
        <v>9</v>
      </c>
      <c r="D13" s="10" t="s">
        <v>10</v>
      </c>
      <c r="E13" s="10" t="s">
        <v>11</v>
      </c>
      <c r="F13" s="10" t="s">
        <v>12</v>
      </c>
      <c r="G13" s="11" t="s">
        <v>13</v>
      </c>
      <c r="H13" s="12" t="s">
        <v>14</v>
      </c>
      <c r="I13" s="12" t="s">
        <v>15</v>
      </c>
    </row>
    <row r="14">
      <c r="A14" s="13">
        <v>5.4506487E8</v>
      </c>
      <c r="B14" s="14" t="s">
        <v>16</v>
      </c>
      <c r="C14" s="15" t="s">
        <v>17</v>
      </c>
      <c r="D14" s="16" t="s">
        <v>18</v>
      </c>
      <c r="E14" s="17">
        <v>3.0</v>
      </c>
      <c r="F14" s="17">
        <v>3.0</v>
      </c>
      <c r="G14" s="59">
        <v>47026.0</v>
      </c>
      <c r="H14" s="103"/>
      <c r="I14" s="27"/>
    </row>
    <row r="15">
      <c r="A15" s="21">
        <v>5.45031365E8</v>
      </c>
      <c r="B15" s="22" t="s">
        <v>16</v>
      </c>
      <c r="C15" s="23" t="s">
        <v>19</v>
      </c>
      <c r="D15" s="23" t="s">
        <v>20</v>
      </c>
      <c r="E15" s="17">
        <v>5.0</v>
      </c>
      <c r="F15" s="17">
        <v>5.0</v>
      </c>
      <c r="G15" s="60">
        <v>46507.0</v>
      </c>
      <c r="H15" s="25"/>
      <c r="I15" s="26"/>
    </row>
    <row r="16">
      <c r="A16" s="21">
        <v>5.45034625E8</v>
      </c>
      <c r="B16" s="22" t="s">
        <v>23</v>
      </c>
      <c r="C16" s="23" t="s">
        <v>24</v>
      </c>
      <c r="D16" s="28" t="s">
        <v>18</v>
      </c>
      <c r="E16" s="17">
        <v>2.0</v>
      </c>
      <c r="F16" s="17">
        <v>2.0</v>
      </c>
      <c r="G16" s="60">
        <v>46477.0</v>
      </c>
      <c r="H16" s="60"/>
      <c r="I16" s="99"/>
    </row>
    <row r="17">
      <c r="A17" s="13">
        <v>5.45024051E8</v>
      </c>
      <c r="B17" s="14" t="s">
        <v>25</v>
      </c>
      <c r="C17" s="15" t="s">
        <v>17</v>
      </c>
      <c r="D17" s="16" t="s">
        <v>18</v>
      </c>
      <c r="E17" s="17">
        <v>1.0</v>
      </c>
      <c r="F17" s="17">
        <v>1.0</v>
      </c>
      <c r="G17" s="19">
        <v>46691.0</v>
      </c>
      <c r="H17" s="19"/>
      <c r="I17" s="27"/>
    </row>
    <row r="18">
      <c r="A18" s="21">
        <v>5.450517E8</v>
      </c>
      <c r="B18" s="22" t="s">
        <v>29</v>
      </c>
      <c r="C18" s="15" t="s">
        <v>17</v>
      </c>
      <c r="D18" s="15" t="s">
        <v>49</v>
      </c>
      <c r="E18" s="17">
        <v>14.0</v>
      </c>
      <c r="F18" s="17">
        <v>14.0</v>
      </c>
      <c r="G18" s="19">
        <v>46477.0</v>
      </c>
      <c r="H18" s="103"/>
      <c r="I18" s="27"/>
    </row>
    <row r="19">
      <c r="A19" s="21">
        <v>5.4505473E8</v>
      </c>
      <c r="B19" s="22" t="s">
        <v>29</v>
      </c>
      <c r="C19" s="23" t="s">
        <v>30</v>
      </c>
      <c r="D19" s="28" t="s">
        <v>18</v>
      </c>
      <c r="E19" s="17">
        <v>2.0</v>
      </c>
      <c r="F19" s="17">
        <v>2.0</v>
      </c>
      <c r="G19" s="108">
        <v>46356.0</v>
      </c>
      <c r="H19" s="25"/>
      <c r="I19" s="26"/>
    </row>
    <row r="20">
      <c r="A20" s="13">
        <v>5.45054725E8</v>
      </c>
      <c r="B20" s="14" t="s">
        <v>29</v>
      </c>
      <c r="C20" s="15" t="s">
        <v>31</v>
      </c>
      <c r="D20" s="28" t="s">
        <v>18</v>
      </c>
      <c r="E20" s="17">
        <v>4.0</v>
      </c>
      <c r="F20" s="33">
        <v>4.0</v>
      </c>
      <c r="G20" s="32">
        <v>46507.0</v>
      </c>
      <c r="H20" s="109"/>
      <c r="I20" s="20"/>
    </row>
    <row r="21">
      <c r="A21" s="35"/>
      <c r="B21" s="35"/>
      <c r="C21" s="36"/>
      <c r="E21" s="37"/>
      <c r="F21" s="37"/>
      <c r="G21" s="37"/>
      <c r="H21" s="37"/>
      <c r="I21" s="37"/>
    </row>
    <row r="22" ht="22.5" customHeight="1">
      <c r="A22" s="69" t="s">
        <v>33</v>
      </c>
      <c r="B22" s="67"/>
      <c r="C22" s="68"/>
      <c r="D22" s="66" t="s">
        <v>34</v>
      </c>
      <c r="E22" s="67"/>
      <c r="F22" s="68"/>
      <c r="G22" s="69" t="s">
        <v>88</v>
      </c>
      <c r="H22" s="67"/>
      <c r="I22" s="68"/>
    </row>
    <row r="23">
      <c r="A23" s="52" t="s">
        <v>36</v>
      </c>
      <c r="C23" s="75"/>
      <c r="D23" s="89" t="s">
        <v>37</v>
      </c>
      <c r="E23" s="71"/>
      <c r="F23" s="72"/>
      <c r="G23" s="73" t="s">
        <v>89</v>
      </c>
      <c r="H23" s="71"/>
      <c r="I23" s="72"/>
    </row>
    <row r="24">
      <c r="C24" s="75"/>
      <c r="D24" s="90"/>
      <c r="F24" s="75"/>
      <c r="I24" s="75"/>
    </row>
    <row r="25">
      <c r="A25" s="78"/>
      <c r="B25" s="78"/>
      <c r="C25" s="79"/>
      <c r="D25" s="92"/>
      <c r="E25" s="78"/>
      <c r="F25" s="79"/>
      <c r="G25" s="78"/>
      <c r="H25" s="78"/>
      <c r="I25" s="79"/>
    </row>
    <row r="26">
      <c r="A26" s="50"/>
      <c r="B26" s="50"/>
      <c r="C26" s="50"/>
      <c r="D26" s="50"/>
      <c r="E26" s="50"/>
      <c r="F26" s="50"/>
      <c r="G26" s="51"/>
      <c r="H26" s="51"/>
      <c r="I26" s="51"/>
    </row>
    <row r="27">
      <c r="A27" s="50"/>
      <c r="B27" s="50"/>
      <c r="C27" s="50"/>
      <c r="D27" s="50"/>
      <c r="E27" s="50"/>
      <c r="F27" s="50"/>
      <c r="G27" s="52" t="s">
        <v>40</v>
      </c>
    </row>
    <row r="28">
      <c r="A28" s="50"/>
      <c r="B28" s="50"/>
      <c r="C28" s="50"/>
      <c r="D28" s="50"/>
      <c r="E28" s="50"/>
      <c r="F28" s="50"/>
      <c r="G28" s="51"/>
      <c r="H28" s="51"/>
      <c r="I28" s="51"/>
    </row>
    <row r="29">
      <c r="A29" s="52" t="s">
        <v>41</v>
      </c>
      <c r="D29" s="50"/>
      <c r="E29" s="50"/>
      <c r="F29" s="50"/>
      <c r="G29" s="53" t="s">
        <v>42</v>
      </c>
    </row>
    <row r="30">
      <c r="A30" s="53" t="s">
        <v>43</v>
      </c>
      <c r="D30" s="50"/>
      <c r="E30" s="50"/>
      <c r="F30" s="50"/>
      <c r="G30" s="51"/>
      <c r="H30" s="51"/>
      <c r="I30" s="51"/>
    </row>
    <row r="31">
      <c r="A31" s="53"/>
      <c r="B31" s="53"/>
      <c r="C31" s="53"/>
      <c r="D31" s="50"/>
      <c r="E31" s="50"/>
      <c r="F31" s="50"/>
      <c r="G31" s="51"/>
      <c r="H31" s="51"/>
      <c r="I31" s="51"/>
    </row>
    <row r="32">
      <c r="A32" s="54"/>
      <c r="B32" s="54"/>
      <c r="C32" s="54"/>
      <c r="D32" s="55" t="s">
        <v>44</v>
      </c>
      <c r="I32" s="55"/>
    </row>
    <row r="33">
      <c r="A33" s="56"/>
      <c r="B33" s="56" t="s">
        <v>45</v>
      </c>
      <c r="C33" s="57" t="s">
        <v>46</v>
      </c>
      <c r="E33" s="54"/>
      <c r="F33" s="54"/>
      <c r="G33" s="54"/>
      <c r="H33" s="54"/>
      <c r="I33" s="54"/>
    </row>
  </sheetData>
  <mergeCells count="21">
    <mergeCell ref="E1:H1"/>
    <mergeCell ref="E2:H2"/>
    <mergeCell ref="E3:H3"/>
    <mergeCell ref="E4:H4"/>
    <mergeCell ref="C9:D9"/>
    <mergeCell ref="B10:G10"/>
    <mergeCell ref="C11:G11"/>
    <mergeCell ref="G23:I25"/>
    <mergeCell ref="G27:I27"/>
    <mergeCell ref="A29:C29"/>
    <mergeCell ref="G29:I29"/>
    <mergeCell ref="A30:C30"/>
    <mergeCell ref="D32:H32"/>
    <mergeCell ref="C33:D33"/>
    <mergeCell ref="C12:D12"/>
    <mergeCell ref="C21:D21"/>
    <mergeCell ref="A22:C22"/>
    <mergeCell ref="D22:F22"/>
    <mergeCell ref="G22:I22"/>
    <mergeCell ref="A23:C25"/>
    <mergeCell ref="D23:F25"/>
  </mergeCells>
  <conditionalFormatting sqref="G13:I20 G22:I31">
    <cfRule type="cellIs" dxfId="4" priority="1" operator="lessThan">
      <formula>today()+60</formula>
    </cfRule>
  </conditionalFormatting>
  <conditionalFormatting sqref="A21:B21 A32:B33">
    <cfRule type="notContainsBlanks" dxfId="5" priority="2">
      <formula>LEN(TRIM(A21))&gt;0</formula>
    </cfRule>
  </conditionalFormatting>
  <dataValidations>
    <dataValidation type="custom" allowBlank="1" showDropDown="1" sqref="G13:I20 G23 G26:I26 G27 G28:I28 G29 G30:I31">
      <formula1>OR(NOT(ISERROR(DATEVALUE(G13))), AND(ISNUMBER(G13), LEFT(CELL("format", G13))="D"))</formula1>
    </dataValidation>
  </dataValidations>
  <printOptions horizontalCentered="1"/>
  <pageMargins bottom="0.75" footer="0.0" header="0.0" left="0.25" right="0.25" top="0.75"/>
  <pageSetup paperSize="9" cellComments="atEnd" orientation="portrait" pageOrder="overThenDown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4.25"/>
    <col customWidth="1" min="3" max="3" width="11.88"/>
    <col customWidth="1" min="4" max="4" width="16.13"/>
    <col customWidth="1" min="5" max="5" width="8.0"/>
    <col customWidth="1" min="6" max="6" width="7.63"/>
    <col customWidth="1" min="7" max="9" width="9.0"/>
  </cols>
  <sheetData>
    <row r="1">
      <c r="E1" s="1" t="s">
        <v>0</v>
      </c>
      <c r="I1" s="1"/>
    </row>
    <row r="2">
      <c r="E2" s="1" t="s">
        <v>1</v>
      </c>
      <c r="I2" s="1"/>
    </row>
    <row r="3">
      <c r="E3" s="1" t="s">
        <v>2</v>
      </c>
      <c r="I3" s="1"/>
    </row>
    <row r="4">
      <c r="E4" s="1" t="s">
        <v>3</v>
      </c>
      <c r="I4" s="1"/>
    </row>
    <row r="9">
      <c r="D9" s="4" t="s">
        <v>90</v>
      </c>
    </row>
    <row r="10">
      <c r="C10" s="58" t="s">
        <v>5</v>
      </c>
    </row>
    <row r="11">
      <c r="C11" s="6" t="s">
        <v>91</v>
      </c>
    </row>
    <row r="12">
      <c r="D12" s="7">
        <f>today()+4</f>
        <v>46220</v>
      </c>
    </row>
    <row r="13">
      <c r="A13" s="8" t="s">
        <v>7</v>
      </c>
      <c r="B13" s="9" t="s">
        <v>8</v>
      </c>
      <c r="C13" s="10" t="s">
        <v>9</v>
      </c>
      <c r="D13" s="10" t="s">
        <v>10</v>
      </c>
      <c r="E13" s="10" t="s">
        <v>11</v>
      </c>
      <c r="F13" s="10" t="s">
        <v>12</v>
      </c>
      <c r="G13" s="11" t="s">
        <v>13</v>
      </c>
      <c r="H13" s="12" t="s">
        <v>14</v>
      </c>
      <c r="I13" s="12" t="s">
        <v>15</v>
      </c>
    </row>
    <row r="14">
      <c r="A14" s="13">
        <v>5.45024065E8</v>
      </c>
      <c r="B14" s="14" t="s">
        <v>21</v>
      </c>
      <c r="C14" s="15" t="s">
        <v>22</v>
      </c>
      <c r="D14" s="16" t="s">
        <v>18</v>
      </c>
      <c r="E14" s="17">
        <v>2.0</v>
      </c>
      <c r="F14" s="17">
        <v>2.0</v>
      </c>
      <c r="G14" s="18">
        <v>46752.0</v>
      </c>
      <c r="H14" s="19"/>
      <c r="I14" s="19"/>
    </row>
    <row r="15">
      <c r="A15" s="21">
        <v>5.45034625E8</v>
      </c>
      <c r="B15" s="22" t="s">
        <v>23</v>
      </c>
      <c r="C15" s="23" t="s">
        <v>24</v>
      </c>
      <c r="D15" s="28" t="s">
        <v>18</v>
      </c>
      <c r="E15" s="17">
        <v>2.0</v>
      </c>
      <c r="F15" s="17">
        <v>2.0</v>
      </c>
      <c r="G15" s="60">
        <v>46538.0</v>
      </c>
      <c r="H15" s="60"/>
      <c r="I15" s="87"/>
    </row>
    <row r="16">
      <c r="A16" s="110">
        <v>5.450517E8</v>
      </c>
      <c r="B16" s="22" t="s">
        <v>29</v>
      </c>
      <c r="C16" s="15" t="s">
        <v>17</v>
      </c>
      <c r="D16" s="15" t="s">
        <v>49</v>
      </c>
      <c r="E16" s="17">
        <v>20.0</v>
      </c>
      <c r="F16" s="17">
        <v>20.0</v>
      </c>
      <c r="G16" s="60">
        <v>46477.0</v>
      </c>
      <c r="H16" s="25"/>
      <c r="I16" s="26"/>
    </row>
    <row r="17">
      <c r="A17" s="21">
        <v>5.4505473E8</v>
      </c>
      <c r="B17" s="14" t="s">
        <v>29</v>
      </c>
      <c r="C17" s="15" t="s">
        <v>92</v>
      </c>
      <c r="D17" s="28" t="s">
        <v>18</v>
      </c>
      <c r="E17" s="17">
        <v>5.0</v>
      </c>
      <c r="F17" s="17">
        <v>5.0</v>
      </c>
      <c r="G17" s="109">
        <v>46356.0</v>
      </c>
      <c r="H17" s="19"/>
      <c r="I17" s="27"/>
    </row>
    <row r="18">
      <c r="A18" s="110">
        <v>5.45054725E8</v>
      </c>
      <c r="B18" s="14" t="s">
        <v>29</v>
      </c>
      <c r="C18" s="15" t="s">
        <v>31</v>
      </c>
      <c r="D18" s="28" t="s">
        <v>18</v>
      </c>
      <c r="E18" s="17">
        <v>4.0</v>
      </c>
      <c r="F18" s="17">
        <v>4.0</v>
      </c>
      <c r="G18" s="32">
        <v>46507.0</v>
      </c>
      <c r="H18" s="19"/>
      <c r="I18" s="27"/>
    </row>
    <row r="19">
      <c r="A19" s="35"/>
      <c r="B19" s="35"/>
      <c r="C19" s="36"/>
      <c r="E19" s="37"/>
      <c r="F19" s="37"/>
      <c r="G19" s="37"/>
      <c r="H19" s="37"/>
      <c r="I19" s="37"/>
    </row>
    <row r="20" ht="22.5" customHeight="1">
      <c r="A20" s="66" t="s">
        <v>33</v>
      </c>
      <c r="B20" s="67"/>
      <c r="C20" s="68"/>
      <c r="D20" s="66" t="s">
        <v>34</v>
      </c>
      <c r="E20" s="67"/>
      <c r="F20" s="68"/>
      <c r="G20" s="69" t="s">
        <v>93</v>
      </c>
      <c r="H20" s="67"/>
      <c r="I20" s="68"/>
    </row>
    <row r="21">
      <c r="A21" s="52"/>
      <c r="D21" s="70" t="s">
        <v>37</v>
      </c>
      <c r="E21" s="71"/>
      <c r="F21" s="72"/>
      <c r="G21" s="73" t="s">
        <v>94</v>
      </c>
      <c r="H21" s="71"/>
      <c r="I21" s="72"/>
    </row>
    <row r="22">
      <c r="A22" s="52" t="s">
        <v>36</v>
      </c>
      <c r="D22" s="45"/>
      <c r="F22" s="75"/>
      <c r="I22" s="75"/>
    </row>
    <row r="23">
      <c r="A23" s="76"/>
      <c r="B23" s="48"/>
      <c r="C23" s="48"/>
      <c r="D23" s="47"/>
      <c r="E23" s="48"/>
      <c r="F23" s="111"/>
      <c r="G23" s="78"/>
      <c r="H23" s="78"/>
      <c r="I23" s="79"/>
    </row>
    <row r="24">
      <c r="A24" s="50"/>
      <c r="B24" s="50"/>
      <c r="C24" s="50"/>
      <c r="D24" s="50"/>
      <c r="E24" s="50"/>
      <c r="F24" s="50"/>
      <c r="G24" s="51"/>
      <c r="H24" s="51"/>
      <c r="I24" s="51"/>
    </row>
    <row r="25">
      <c r="A25" s="50"/>
      <c r="B25" s="50"/>
      <c r="C25" s="50"/>
      <c r="D25" s="50"/>
      <c r="E25" s="50"/>
      <c r="F25" s="50"/>
      <c r="G25" s="52" t="s">
        <v>40</v>
      </c>
    </row>
    <row r="26">
      <c r="A26" s="50"/>
      <c r="B26" s="50"/>
      <c r="C26" s="50"/>
      <c r="D26" s="50"/>
      <c r="E26" s="50"/>
      <c r="F26" s="50"/>
      <c r="G26" s="51"/>
      <c r="H26" s="51"/>
      <c r="I26" s="51"/>
    </row>
    <row r="27">
      <c r="A27" s="52" t="s">
        <v>41</v>
      </c>
      <c r="D27" s="50"/>
      <c r="E27" s="50"/>
      <c r="F27" s="50"/>
      <c r="G27" s="53" t="s">
        <v>42</v>
      </c>
    </row>
    <row r="28">
      <c r="A28" s="53" t="s">
        <v>43</v>
      </c>
      <c r="D28" s="50"/>
      <c r="E28" s="50"/>
      <c r="F28" s="50"/>
      <c r="G28" s="51"/>
      <c r="H28" s="51"/>
      <c r="I28" s="51"/>
    </row>
    <row r="29">
      <c r="A29" s="50"/>
      <c r="B29" s="50"/>
      <c r="C29" s="50"/>
      <c r="D29" s="50"/>
      <c r="E29" s="50"/>
      <c r="F29" s="50"/>
      <c r="G29" s="51"/>
      <c r="H29" s="51"/>
      <c r="I29" s="51"/>
    </row>
    <row r="30">
      <c r="A30" s="54"/>
      <c r="B30" s="54"/>
      <c r="C30" s="54"/>
      <c r="D30" s="55" t="s">
        <v>44</v>
      </c>
      <c r="I30" s="55"/>
    </row>
    <row r="31">
      <c r="A31" s="56"/>
      <c r="B31" s="56" t="s">
        <v>45</v>
      </c>
      <c r="C31" s="57" t="s">
        <v>46</v>
      </c>
      <c r="E31" s="54"/>
      <c r="F31" s="54"/>
      <c r="G31" s="54"/>
      <c r="H31" s="54"/>
      <c r="I31" s="54"/>
    </row>
  </sheetData>
  <mergeCells count="21">
    <mergeCell ref="E1:H1"/>
    <mergeCell ref="E2:H2"/>
    <mergeCell ref="E3:H3"/>
    <mergeCell ref="E4:H4"/>
    <mergeCell ref="C10:G10"/>
    <mergeCell ref="C11:G11"/>
    <mergeCell ref="C19:D19"/>
    <mergeCell ref="G21:I23"/>
    <mergeCell ref="G25:I25"/>
    <mergeCell ref="A27:C27"/>
    <mergeCell ref="G27:I27"/>
    <mergeCell ref="A28:C28"/>
    <mergeCell ref="D30:H30"/>
    <mergeCell ref="C31:D31"/>
    <mergeCell ref="A20:C20"/>
    <mergeCell ref="D20:F20"/>
    <mergeCell ref="G20:I20"/>
    <mergeCell ref="A21:C21"/>
    <mergeCell ref="D21:F23"/>
    <mergeCell ref="A22:C22"/>
    <mergeCell ref="A23:C23"/>
  </mergeCells>
  <conditionalFormatting sqref="G13:I18 G20:I29">
    <cfRule type="cellIs" dxfId="4" priority="1" operator="lessThan">
      <formula>today()+60</formula>
    </cfRule>
  </conditionalFormatting>
  <conditionalFormatting sqref="A19:B19 A30:B31">
    <cfRule type="notContainsBlanks" dxfId="5" priority="2">
      <formula>LEN(TRIM(A19))&gt;0</formula>
    </cfRule>
  </conditionalFormatting>
  <dataValidations>
    <dataValidation type="custom" allowBlank="1" showDropDown="1" sqref="G13:I18 G21 G24:I24 G25 G26:I26 G27 G28:I29">
      <formula1>OR(NOT(ISERROR(DATEVALUE(G13))), AND(ISNUMBER(G13), LEFT(CELL("format", G13))="D"))</formula1>
    </dataValidation>
  </dataValidations>
  <printOptions horizontalCentered="1"/>
  <pageMargins bottom="0.75" footer="0.0" header="0.0" left="0.25" right="0.25" top="0.75"/>
  <pageSetup paperSize="9" cellComments="atEnd" orientation="portrait" pageOrder="overThenDown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5.63"/>
    <col customWidth="1" min="3" max="3" width="11.38"/>
    <col customWidth="1" min="4" max="4" width="16.13"/>
    <col customWidth="1" min="5" max="5" width="8.0"/>
    <col customWidth="1" min="6" max="6" width="7.63"/>
    <col customWidth="1" min="7" max="9" width="9.0"/>
  </cols>
  <sheetData>
    <row r="1">
      <c r="A1" s="80"/>
      <c r="B1" s="80" t="s">
        <v>95</v>
      </c>
      <c r="E1" s="1" t="s">
        <v>0</v>
      </c>
      <c r="I1" s="1"/>
    </row>
    <row r="2">
      <c r="E2" s="1" t="s">
        <v>1</v>
      </c>
      <c r="I2" s="1"/>
    </row>
    <row r="3">
      <c r="E3" s="1" t="s">
        <v>2</v>
      </c>
      <c r="I3" s="1"/>
    </row>
    <row r="4">
      <c r="E4" s="1" t="s">
        <v>3</v>
      </c>
      <c r="I4" s="1"/>
    </row>
    <row r="9">
      <c r="B9" s="81"/>
      <c r="C9" s="112" t="s">
        <v>96</v>
      </c>
      <c r="D9" s="81"/>
    </row>
    <row r="10">
      <c r="B10" s="58" t="s">
        <v>5</v>
      </c>
    </row>
    <row r="11">
      <c r="A11" s="6" t="s">
        <v>97</v>
      </c>
    </row>
    <row r="12">
      <c r="B12" s="7">
        <f>today()+4</f>
        <v>46220</v>
      </c>
    </row>
    <row r="13">
      <c r="A13" s="8" t="s">
        <v>7</v>
      </c>
      <c r="B13" s="9" t="s">
        <v>8</v>
      </c>
      <c r="C13" s="10" t="s">
        <v>9</v>
      </c>
      <c r="D13" s="10" t="s">
        <v>10</v>
      </c>
      <c r="E13" s="10" t="s">
        <v>11</v>
      </c>
      <c r="F13" s="10" t="s">
        <v>12</v>
      </c>
      <c r="G13" s="11" t="s">
        <v>13</v>
      </c>
      <c r="H13" s="12" t="s">
        <v>14</v>
      </c>
      <c r="I13" s="12" t="s">
        <v>15</v>
      </c>
    </row>
    <row r="14">
      <c r="A14" s="13">
        <v>5.45024055E8</v>
      </c>
      <c r="B14" s="14" t="s">
        <v>26</v>
      </c>
      <c r="C14" s="15" t="s">
        <v>28</v>
      </c>
      <c r="D14" s="16" t="s">
        <v>57</v>
      </c>
      <c r="E14" s="17">
        <v>5.0</v>
      </c>
      <c r="F14" s="17">
        <v>5.0</v>
      </c>
      <c r="G14" s="113">
        <v>46387.0</v>
      </c>
      <c r="H14" s="30">
        <v>46507.0</v>
      </c>
      <c r="I14" s="113">
        <v>46660.0</v>
      </c>
    </row>
    <row r="15">
      <c r="A15" s="21">
        <v>5.45034625E8</v>
      </c>
      <c r="B15" s="22" t="s">
        <v>23</v>
      </c>
      <c r="C15" s="23" t="s">
        <v>24</v>
      </c>
      <c r="D15" s="28" t="s">
        <v>18</v>
      </c>
      <c r="E15" s="17">
        <v>10.0</v>
      </c>
      <c r="F15" s="17">
        <v>10.0</v>
      </c>
      <c r="G15" s="60">
        <v>46477.0</v>
      </c>
      <c r="H15" s="60">
        <v>46721.0</v>
      </c>
      <c r="I15" s="87"/>
    </row>
    <row r="16">
      <c r="A16" s="13">
        <v>5.45024051E8</v>
      </c>
      <c r="B16" s="14" t="s">
        <v>25</v>
      </c>
      <c r="C16" s="15" t="s">
        <v>17</v>
      </c>
      <c r="D16" s="16" t="s">
        <v>18</v>
      </c>
      <c r="E16" s="17">
        <v>2.0</v>
      </c>
      <c r="F16" s="17">
        <v>2.0</v>
      </c>
      <c r="G16" s="32">
        <v>46690.0</v>
      </c>
      <c r="H16" s="19"/>
      <c r="I16" s="27"/>
    </row>
    <row r="17">
      <c r="A17" s="13">
        <v>5.45024065E8</v>
      </c>
      <c r="B17" s="14" t="s">
        <v>21</v>
      </c>
      <c r="C17" s="15" t="s">
        <v>22</v>
      </c>
      <c r="D17" s="16" t="s">
        <v>18</v>
      </c>
      <c r="E17" s="17">
        <v>10.0</v>
      </c>
      <c r="F17" s="17">
        <v>10.0</v>
      </c>
      <c r="G17" s="19">
        <v>46538.0</v>
      </c>
      <c r="H17" s="19">
        <v>46752.0</v>
      </c>
      <c r="I17" s="20"/>
    </row>
    <row r="18">
      <c r="A18" s="35"/>
      <c r="B18" s="35"/>
      <c r="C18" s="36"/>
      <c r="E18" s="37"/>
      <c r="F18" s="37"/>
      <c r="G18" s="37"/>
      <c r="H18" s="37"/>
      <c r="I18" s="37"/>
    </row>
    <row r="19" ht="22.5" customHeight="1">
      <c r="A19" s="66" t="s">
        <v>33</v>
      </c>
      <c r="B19" s="67"/>
      <c r="C19" s="68"/>
      <c r="D19" s="66" t="s">
        <v>34</v>
      </c>
      <c r="E19" s="67"/>
      <c r="F19" s="68"/>
      <c r="G19" s="69" t="s">
        <v>58</v>
      </c>
      <c r="H19" s="67"/>
      <c r="I19" s="68"/>
    </row>
    <row r="20">
      <c r="A20" s="73"/>
      <c r="B20" s="71"/>
      <c r="C20" s="72"/>
      <c r="D20" s="89" t="s">
        <v>37</v>
      </c>
      <c r="E20" s="71"/>
      <c r="F20" s="72"/>
      <c r="G20" s="73" t="s">
        <v>98</v>
      </c>
      <c r="H20" s="71"/>
      <c r="I20" s="72"/>
    </row>
    <row r="21">
      <c r="A21" s="52" t="s">
        <v>36</v>
      </c>
      <c r="C21" s="75"/>
      <c r="D21" s="90"/>
      <c r="F21" s="75"/>
      <c r="I21" s="75"/>
    </row>
    <row r="22">
      <c r="A22" s="91"/>
      <c r="B22" s="78"/>
      <c r="C22" s="79"/>
      <c r="D22" s="92"/>
      <c r="E22" s="78"/>
      <c r="F22" s="79"/>
      <c r="G22" s="78"/>
      <c r="H22" s="78"/>
      <c r="I22" s="79"/>
    </row>
    <row r="23">
      <c r="A23" s="50"/>
      <c r="B23" s="50"/>
      <c r="C23" s="50"/>
      <c r="D23" s="50"/>
      <c r="E23" s="50"/>
      <c r="F23" s="50"/>
      <c r="G23" s="51"/>
      <c r="H23" s="51"/>
      <c r="I23" s="51"/>
    </row>
    <row r="24">
      <c r="A24" s="93"/>
      <c r="B24" s="93"/>
      <c r="C24" s="93"/>
      <c r="D24" s="50"/>
      <c r="E24" s="50"/>
      <c r="F24" s="50"/>
      <c r="G24" s="52" t="s">
        <v>40</v>
      </c>
    </row>
    <row r="25">
      <c r="A25" s="93"/>
      <c r="B25" s="93"/>
      <c r="C25" s="93"/>
      <c r="D25" s="50"/>
      <c r="E25" s="50"/>
      <c r="F25" s="50"/>
      <c r="G25" s="51"/>
      <c r="H25" s="51"/>
      <c r="I25" s="51"/>
    </row>
    <row r="26">
      <c r="A26" s="52" t="s">
        <v>53</v>
      </c>
      <c r="D26" s="50"/>
      <c r="E26" s="50"/>
      <c r="F26" s="50"/>
      <c r="G26" s="53" t="s">
        <v>42</v>
      </c>
    </row>
    <row r="27">
      <c r="A27" s="53" t="s">
        <v>43</v>
      </c>
      <c r="D27" s="50"/>
      <c r="E27" s="50"/>
      <c r="F27" s="50"/>
      <c r="G27" s="51"/>
      <c r="H27" s="51"/>
      <c r="I27" s="51"/>
    </row>
    <row r="28">
      <c r="A28" s="95"/>
      <c r="B28" s="95"/>
      <c r="C28" s="95"/>
      <c r="D28" s="96"/>
      <c r="E28" s="96"/>
      <c r="F28" s="96"/>
      <c r="G28" s="97"/>
      <c r="H28" s="97"/>
      <c r="I28" s="97"/>
    </row>
    <row r="29">
      <c r="A29" s="54"/>
      <c r="B29" s="54"/>
      <c r="C29" s="54"/>
      <c r="D29" s="55" t="s">
        <v>44</v>
      </c>
      <c r="I29" s="55"/>
    </row>
    <row r="30">
      <c r="A30" s="56"/>
      <c r="B30" s="56" t="s">
        <v>45</v>
      </c>
      <c r="C30" s="57" t="s">
        <v>46</v>
      </c>
      <c r="E30" s="54"/>
      <c r="F30" s="54"/>
      <c r="G30" s="54"/>
      <c r="H30" s="54"/>
      <c r="I30" s="54"/>
    </row>
  </sheetData>
  <mergeCells count="22">
    <mergeCell ref="E1:H1"/>
    <mergeCell ref="E2:H2"/>
    <mergeCell ref="E3:H3"/>
    <mergeCell ref="E4:H4"/>
    <mergeCell ref="B10:G10"/>
    <mergeCell ref="A11:G11"/>
    <mergeCell ref="B12:D12"/>
    <mergeCell ref="A21:C21"/>
    <mergeCell ref="A22:C22"/>
    <mergeCell ref="A26:C26"/>
    <mergeCell ref="A27:C27"/>
    <mergeCell ref="G24:I24"/>
    <mergeCell ref="G26:I26"/>
    <mergeCell ref="D29:H29"/>
    <mergeCell ref="C30:D30"/>
    <mergeCell ref="C18:D18"/>
    <mergeCell ref="A19:C19"/>
    <mergeCell ref="D19:F19"/>
    <mergeCell ref="G19:I19"/>
    <mergeCell ref="A20:C20"/>
    <mergeCell ref="D20:F22"/>
    <mergeCell ref="G20:I22"/>
  </mergeCells>
  <conditionalFormatting sqref="G13:I17 G19:I28">
    <cfRule type="cellIs" dxfId="4" priority="1" operator="lessThan">
      <formula>today()+60</formula>
    </cfRule>
  </conditionalFormatting>
  <conditionalFormatting sqref="A18:B18 A29:B30">
    <cfRule type="notContainsBlanks" dxfId="5" priority="2">
      <formula>LEN(TRIM(A18))&gt;0</formula>
    </cfRule>
  </conditionalFormatting>
  <dataValidations>
    <dataValidation type="custom" allowBlank="1" showDropDown="1" sqref="G13:I13 G14 I14 G15:I17 G20 G23:I23 G24 G25:I25 G26 G27:I28">
      <formula1>OR(NOT(ISERROR(DATEVALUE(G13))), AND(ISNUMBER(G13), LEFT(CELL("format", G13))="D"))</formula1>
    </dataValidation>
  </dataValidations>
  <printOptions horizontalCentered="1"/>
  <pageMargins bottom="0.75" footer="0.0" header="0.0" left="0.25" right="0.25" top="0.75"/>
  <pageSetup paperSize="9" cellComments="atEnd" orientation="portrait" pageOrder="overThenDown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3.5"/>
    <col customWidth="1" min="3" max="3" width="11.88"/>
    <col customWidth="1" min="4" max="4" width="16.13"/>
    <col customWidth="1" min="5" max="5" width="8.0"/>
    <col customWidth="1" min="6" max="6" width="7.63"/>
    <col customWidth="1" min="7" max="9" width="9.0"/>
  </cols>
  <sheetData>
    <row r="1">
      <c r="E1" s="1" t="s">
        <v>0</v>
      </c>
      <c r="I1" s="1"/>
    </row>
    <row r="2">
      <c r="E2" s="1" t="s">
        <v>1</v>
      </c>
      <c r="I2" s="1"/>
    </row>
    <row r="3">
      <c r="E3" s="1" t="s">
        <v>2</v>
      </c>
      <c r="I3" s="1"/>
    </row>
    <row r="4">
      <c r="E4" s="1" t="s">
        <v>3</v>
      </c>
      <c r="I4" s="1"/>
    </row>
    <row r="8">
      <c r="C8" s="4" t="s">
        <v>99</v>
      </c>
    </row>
    <row r="9">
      <c r="B9" s="58" t="s">
        <v>5</v>
      </c>
    </row>
    <row r="10">
      <c r="A10" s="6" t="s">
        <v>100</v>
      </c>
    </row>
    <row r="11">
      <c r="C11" s="7">
        <f>today()+4</f>
        <v>46220</v>
      </c>
    </row>
    <row r="12">
      <c r="A12" s="8" t="s">
        <v>7</v>
      </c>
      <c r="B12" s="9" t="s">
        <v>8</v>
      </c>
      <c r="C12" s="10" t="s">
        <v>9</v>
      </c>
      <c r="D12" s="10" t="s">
        <v>10</v>
      </c>
      <c r="E12" s="10" t="s">
        <v>11</v>
      </c>
      <c r="F12" s="10" t="s">
        <v>12</v>
      </c>
      <c r="G12" s="11" t="s">
        <v>13</v>
      </c>
      <c r="H12" s="12" t="s">
        <v>14</v>
      </c>
      <c r="I12" s="12" t="s">
        <v>15</v>
      </c>
    </row>
    <row r="13">
      <c r="A13" s="21">
        <v>5.45034625E8</v>
      </c>
      <c r="B13" s="22" t="s">
        <v>23</v>
      </c>
      <c r="C13" s="23" t="s">
        <v>24</v>
      </c>
      <c r="D13" s="28" t="s">
        <v>18</v>
      </c>
      <c r="E13" s="17">
        <v>1.0</v>
      </c>
      <c r="F13" s="17">
        <v>1.0</v>
      </c>
      <c r="G13" s="60">
        <v>46477.0</v>
      </c>
      <c r="H13" s="60"/>
      <c r="I13" s="99"/>
    </row>
    <row r="14">
      <c r="A14" s="13">
        <v>5.4506487E8</v>
      </c>
      <c r="B14" s="14" t="s">
        <v>16</v>
      </c>
      <c r="C14" s="15" t="s">
        <v>17</v>
      </c>
      <c r="D14" s="16" t="s">
        <v>18</v>
      </c>
      <c r="E14" s="17">
        <v>1.0</v>
      </c>
      <c r="F14" s="17">
        <v>1.0</v>
      </c>
      <c r="G14" s="18">
        <v>47026.0</v>
      </c>
      <c r="H14" s="103"/>
      <c r="I14" s="27"/>
    </row>
    <row r="15">
      <c r="A15" s="35"/>
      <c r="B15" s="35"/>
      <c r="C15" s="36"/>
      <c r="E15" s="37"/>
      <c r="F15" s="37"/>
      <c r="G15" s="37"/>
      <c r="H15" s="37"/>
      <c r="I15" s="37"/>
    </row>
    <row r="16" ht="22.5" customHeight="1">
      <c r="A16" s="66" t="s">
        <v>33</v>
      </c>
      <c r="B16" s="67"/>
      <c r="C16" s="68"/>
      <c r="D16" s="66" t="s">
        <v>34</v>
      </c>
      <c r="E16" s="67"/>
      <c r="F16" s="68"/>
      <c r="G16" s="69" t="s">
        <v>101</v>
      </c>
      <c r="H16" s="67"/>
      <c r="I16" s="68"/>
    </row>
    <row r="17">
      <c r="A17" s="73"/>
      <c r="B17" s="71"/>
      <c r="C17" s="72"/>
      <c r="D17" s="89" t="s">
        <v>37</v>
      </c>
      <c r="E17" s="71"/>
      <c r="F17" s="72"/>
      <c r="G17" s="73" t="s">
        <v>102</v>
      </c>
      <c r="H17" s="71"/>
      <c r="I17" s="72"/>
    </row>
    <row r="18">
      <c r="A18" s="52" t="s">
        <v>36</v>
      </c>
      <c r="C18" s="75"/>
      <c r="D18" s="90"/>
      <c r="F18" s="75"/>
      <c r="I18" s="75"/>
    </row>
    <row r="19">
      <c r="A19" s="91"/>
      <c r="B19" s="78"/>
      <c r="C19" s="79"/>
      <c r="D19" s="92"/>
      <c r="E19" s="78"/>
      <c r="F19" s="79"/>
      <c r="G19" s="78"/>
      <c r="H19" s="78"/>
      <c r="I19" s="79"/>
    </row>
    <row r="20">
      <c r="A20" s="50"/>
      <c r="B20" s="50"/>
      <c r="C20" s="50"/>
      <c r="D20" s="50"/>
      <c r="E20" s="50"/>
      <c r="F20" s="50"/>
      <c r="G20" s="51"/>
      <c r="H20" s="51"/>
      <c r="I20" s="51"/>
    </row>
    <row r="21">
      <c r="A21" s="50"/>
      <c r="B21" s="50"/>
      <c r="C21" s="50"/>
      <c r="D21" s="50"/>
      <c r="E21" s="50"/>
      <c r="F21" s="50"/>
      <c r="G21" s="52" t="s">
        <v>40</v>
      </c>
    </row>
    <row r="22">
      <c r="A22" s="50"/>
      <c r="B22" s="50"/>
      <c r="C22" s="50"/>
      <c r="D22" s="50"/>
      <c r="E22" s="50"/>
      <c r="F22" s="50"/>
      <c r="G22" s="51"/>
      <c r="H22" s="51"/>
      <c r="I22" s="51"/>
    </row>
    <row r="23">
      <c r="A23" s="52" t="s">
        <v>53</v>
      </c>
      <c r="D23" s="50"/>
      <c r="E23" s="50"/>
      <c r="F23" s="50"/>
      <c r="G23" s="53" t="s">
        <v>42</v>
      </c>
    </row>
    <row r="24">
      <c r="A24" s="53" t="s">
        <v>43</v>
      </c>
      <c r="D24" s="50"/>
      <c r="E24" s="50"/>
      <c r="F24" s="50"/>
      <c r="G24" s="51"/>
      <c r="H24" s="51"/>
      <c r="I24" s="51"/>
    </row>
    <row r="25">
      <c r="A25" s="50"/>
      <c r="B25" s="50"/>
      <c r="C25" s="50"/>
      <c r="D25" s="50"/>
      <c r="E25" s="50"/>
      <c r="F25" s="50"/>
      <c r="G25" s="51"/>
      <c r="H25" s="51"/>
      <c r="I25" s="51"/>
    </row>
    <row r="26">
      <c r="A26" s="54"/>
      <c r="B26" s="54"/>
      <c r="C26" s="54"/>
      <c r="D26" s="55" t="s">
        <v>44</v>
      </c>
      <c r="I26" s="55"/>
    </row>
    <row r="27">
      <c r="A27" s="56"/>
      <c r="B27" s="56" t="s">
        <v>45</v>
      </c>
      <c r="C27" s="57" t="s">
        <v>46</v>
      </c>
      <c r="E27" s="54"/>
      <c r="F27" s="54"/>
      <c r="G27" s="54"/>
      <c r="H27" s="54"/>
      <c r="I27" s="54"/>
    </row>
  </sheetData>
  <mergeCells count="23">
    <mergeCell ref="E1:H1"/>
    <mergeCell ref="E2:H2"/>
    <mergeCell ref="E3:H3"/>
    <mergeCell ref="E4:H4"/>
    <mergeCell ref="C8:D8"/>
    <mergeCell ref="B9:H9"/>
    <mergeCell ref="A10:H10"/>
    <mergeCell ref="A17:C17"/>
    <mergeCell ref="A18:C18"/>
    <mergeCell ref="A23:C23"/>
    <mergeCell ref="A24:C24"/>
    <mergeCell ref="G17:I19"/>
    <mergeCell ref="G21:I21"/>
    <mergeCell ref="G23:I23"/>
    <mergeCell ref="D26:H26"/>
    <mergeCell ref="C27:D27"/>
    <mergeCell ref="C11:D11"/>
    <mergeCell ref="C15:D15"/>
    <mergeCell ref="A16:C16"/>
    <mergeCell ref="D16:F16"/>
    <mergeCell ref="G16:I16"/>
    <mergeCell ref="D17:F19"/>
    <mergeCell ref="A19:C19"/>
  </mergeCells>
  <conditionalFormatting sqref="G12:I14 G16:I25">
    <cfRule type="cellIs" dxfId="4" priority="1" operator="lessThan">
      <formula>today()+60</formula>
    </cfRule>
  </conditionalFormatting>
  <conditionalFormatting sqref="A15:B15 A26:B27">
    <cfRule type="notContainsBlanks" dxfId="5" priority="2">
      <formula>LEN(TRIM(A15))&gt;0</formula>
    </cfRule>
  </conditionalFormatting>
  <dataValidations>
    <dataValidation type="custom" allowBlank="1" showDropDown="1" sqref="G12:I14 G17 G20:I20 G21 G22:I22 G23 G24:I25">
      <formula1>OR(NOT(ISERROR(DATEVALUE(G12))), AND(ISNUMBER(G12), LEFT(CELL("format", G12))="D"))</formula1>
    </dataValidation>
  </dataValidations>
  <printOptions horizontalCentered="1"/>
  <pageMargins bottom="0.75" footer="0.0" header="0.0" left="0.25" right="0.25" top="0.75"/>
  <pageSetup paperSize="9" cellComments="atEnd" orientation="portrait" pageOrder="overThenDown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1.88"/>
    <col customWidth="1" min="3" max="3" width="16.13"/>
    <col customWidth="1" min="4" max="4" width="8.0"/>
    <col customWidth="1" min="5" max="5" width="7.63"/>
    <col customWidth="1" min="6" max="8" width="9.0"/>
  </cols>
  <sheetData>
    <row r="1">
      <c r="A1" s="80">
        <v>7.0</v>
      </c>
      <c r="D1" s="1" t="s">
        <v>0</v>
      </c>
      <c r="H1" s="1"/>
    </row>
    <row r="2">
      <c r="D2" s="1" t="s">
        <v>1</v>
      </c>
      <c r="H2" s="1"/>
    </row>
    <row r="3">
      <c r="D3" s="1" t="s">
        <v>2</v>
      </c>
      <c r="H3" s="1"/>
    </row>
    <row r="4">
      <c r="D4" s="1" t="s">
        <v>3</v>
      </c>
      <c r="H4" s="1"/>
    </row>
    <row r="8">
      <c r="C8" s="4" t="s">
        <v>103</v>
      </c>
    </row>
    <row r="9">
      <c r="B9" s="58" t="s">
        <v>5</v>
      </c>
    </row>
    <row r="10">
      <c r="B10" s="6" t="s">
        <v>104</v>
      </c>
    </row>
    <row r="12">
      <c r="C12" s="7">
        <f>today()+4</f>
        <v>46220</v>
      </c>
    </row>
    <row r="13">
      <c r="A13" s="9" t="s">
        <v>8</v>
      </c>
      <c r="B13" s="10" t="s">
        <v>9</v>
      </c>
      <c r="C13" s="10" t="s">
        <v>10</v>
      </c>
      <c r="D13" s="10" t="s">
        <v>11</v>
      </c>
      <c r="E13" s="10" t="s">
        <v>12</v>
      </c>
      <c r="F13" s="11" t="s">
        <v>13</v>
      </c>
      <c r="G13" s="12" t="s">
        <v>14</v>
      </c>
      <c r="H13" s="12" t="s">
        <v>15</v>
      </c>
    </row>
    <row r="14">
      <c r="A14" s="22" t="s">
        <v>105</v>
      </c>
      <c r="B14" s="23" t="s">
        <v>17</v>
      </c>
      <c r="C14" s="16" t="s">
        <v>18</v>
      </c>
      <c r="D14" s="17">
        <v>1.0</v>
      </c>
      <c r="E14" s="17">
        <v>1.0</v>
      </c>
      <c r="F14" s="19">
        <v>46173.0</v>
      </c>
      <c r="H14" s="99"/>
    </row>
    <row r="15">
      <c r="A15" s="35"/>
      <c r="B15" s="36"/>
      <c r="D15" s="37"/>
      <c r="E15" s="37"/>
      <c r="F15" s="37"/>
      <c r="G15" s="37"/>
      <c r="H15" s="37"/>
    </row>
    <row r="16" ht="22.5" customHeight="1">
      <c r="A16" s="66" t="s">
        <v>33</v>
      </c>
      <c r="B16" s="68"/>
      <c r="C16" s="66" t="s">
        <v>34</v>
      </c>
      <c r="D16" s="67"/>
      <c r="E16" s="68"/>
      <c r="F16" s="69" t="s">
        <v>106</v>
      </c>
      <c r="G16" s="67"/>
      <c r="H16" s="68"/>
    </row>
    <row r="17">
      <c r="A17" s="73" t="s">
        <v>36</v>
      </c>
      <c r="B17" s="72"/>
      <c r="C17" s="89" t="s">
        <v>75</v>
      </c>
      <c r="D17" s="71"/>
      <c r="E17" s="72"/>
      <c r="F17" s="114" t="s">
        <v>107</v>
      </c>
      <c r="G17" s="71"/>
      <c r="H17" s="72"/>
    </row>
    <row r="18">
      <c r="B18" s="75"/>
      <c r="C18" s="90"/>
      <c r="E18" s="75"/>
      <c r="H18" s="75"/>
    </row>
    <row r="19">
      <c r="A19" s="78"/>
      <c r="B19" s="79"/>
      <c r="C19" s="92"/>
      <c r="D19" s="78"/>
      <c r="E19" s="79"/>
      <c r="F19" s="78"/>
      <c r="G19" s="78"/>
      <c r="H19" s="79"/>
    </row>
    <row r="20">
      <c r="A20" s="50"/>
      <c r="B20" s="50"/>
      <c r="C20" s="50"/>
      <c r="D20" s="50"/>
      <c r="E20" s="50"/>
      <c r="F20" s="51"/>
      <c r="G20" s="51"/>
      <c r="H20" s="93" t="s">
        <v>85</v>
      </c>
    </row>
    <row r="21">
      <c r="A21" s="50"/>
      <c r="B21" s="50"/>
      <c r="C21" s="50"/>
      <c r="D21" s="50"/>
      <c r="E21" s="50"/>
      <c r="F21" s="52" t="s">
        <v>40</v>
      </c>
    </row>
    <row r="22">
      <c r="A22" s="50"/>
      <c r="B22" s="50"/>
      <c r="C22" s="50"/>
      <c r="D22" s="50"/>
      <c r="E22" s="50"/>
      <c r="F22" s="51"/>
      <c r="G22" s="51"/>
      <c r="H22" s="51"/>
    </row>
    <row r="23">
      <c r="A23" s="52" t="s">
        <v>41</v>
      </c>
      <c r="C23" s="50"/>
      <c r="D23" s="50"/>
      <c r="E23" s="50"/>
      <c r="F23" s="53" t="s">
        <v>42</v>
      </c>
    </row>
    <row r="24">
      <c r="A24" s="53" t="s">
        <v>43</v>
      </c>
      <c r="C24" s="50"/>
      <c r="D24" s="50"/>
      <c r="E24" s="50"/>
      <c r="F24" s="51"/>
      <c r="G24" s="51"/>
      <c r="H24" s="51"/>
    </row>
    <row r="25">
      <c r="A25" s="50"/>
      <c r="B25" s="50"/>
      <c r="C25" s="50"/>
      <c r="D25" s="50"/>
      <c r="E25" s="50"/>
      <c r="F25" s="51"/>
      <c r="G25" s="51"/>
      <c r="H25" s="51"/>
    </row>
    <row r="26">
      <c r="A26" s="54"/>
      <c r="B26" s="54"/>
      <c r="C26" s="55" t="s">
        <v>44</v>
      </c>
      <c r="H26" s="55"/>
    </row>
    <row r="27">
      <c r="A27" s="56" t="s">
        <v>45</v>
      </c>
      <c r="B27" s="57" t="s">
        <v>46</v>
      </c>
      <c r="D27" s="54"/>
      <c r="E27" s="54"/>
      <c r="F27" s="54"/>
      <c r="G27" s="54"/>
      <c r="H27" s="54"/>
    </row>
  </sheetData>
  <mergeCells count="19">
    <mergeCell ref="D1:G1"/>
    <mergeCell ref="D2:G2"/>
    <mergeCell ref="D3:G3"/>
    <mergeCell ref="D4:G4"/>
    <mergeCell ref="B9:F9"/>
    <mergeCell ref="B10:F10"/>
    <mergeCell ref="B15:C15"/>
    <mergeCell ref="A23:B23"/>
    <mergeCell ref="F23:H23"/>
    <mergeCell ref="A24:B24"/>
    <mergeCell ref="C26:G26"/>
    <mergeCell ref="B27:C27"/>
    <mergeCell ref="A16:B16"/>
    <mergeCell ref="C16:E16"/>
    <mergeCell ref="F16:H16"/>
    <mergeCell ref="A17:B19"/>
    <mergeCell ref="C17:E19"/>
    <mergeCell ref="F17:H19"/>
    <mergeCell ref="F21:H21"/>
  </mergeCells>
  <conditionalFormatting sqref="F13:H14 F16:H25">
    <cfRule type="cellIs" dxfId="4" priority="1" operator="lessThan">
      <formula>today()+60</formula>
    </cfRule>
  </conditionalFormatting>
  <conditionalFormatting sqref="A15 A26:A27">
    <cfRule type="notContainsBlanks" dxfId="5" priority="2">
      <formula>LEN(TRIM(A15))&gt;0</formula>
    </cfRule>
  </conditionalFormatting>
  <dataValidations>
    <dataValidation type="custom" allowBlank="1" showDropDown="1" sqref="F13:H13 F14 H14 F17 F20:H20 F21 F22:H22 F23 F24:H25">
      <formula1>OR(NOT(ISERROR(DATEVALUE(F13))), AND(ISNUMBER(F13), LEFT(CELL("format", F13))="D"))</formula1>
    </dataValidation>
  </dataValidations>
  <printOptions horizontalCentered="1"/>
  <pageMargins bottom="0.75" footer="0.0" header="0.0" left="0.25" right="0.25" top="0.75"/>
  <pageSetup fitToHeight="0" paperSize="9" cellComments="atEnd" orientation="portrait" pageOrder="overThenDown"/>
  <drawing r:id="rId1"/>
  <tableParts count="1">
    <tablePart r:id="rId3"/>
  </tableParts>
</worksheet>
</file>